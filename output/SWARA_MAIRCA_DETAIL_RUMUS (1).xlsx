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aragon\www\Mandiri\Create Dokumen\referensi\"/>
    </mc:Choice>
  </mc:AlternateContent>
  <xr:revisionPtr revIDLastSave="0" documentId="13_ncr:1_{3FA14765-D8E3-45E3-8CD2-3B2324E05B67}" xr6:coauthVersionLast="47" xr6:coauthVersionMax="47" xr10:uidLastSave="{00000000-0000-0000-0000-000000000000}"/>
  <bookViews>
    <workbookView xWindow="-108" yWindow="-108" windowWidth="23256" windowHeight="12456" tabRatio="500" firstSheet="2" activeTab="7" xr2:uid="{00000000-000D-0000-FFFF-FFFF00000000}"/>
  </bookViews>
  <sheets>
    <sheet name="1.Data" sheetId="1" r:id="rId1"/>
    <sheet name="2.SWARA" sheetId="2" r:id="rId2"/>
    <sheet name="3.Normalisasi" sheetId="3" r:id="rId3"/>
    <sheet name="4.Pref.Teoritis" sheetId="4" r:id="rId4"/>
    <sheet name="5.Pref.Nyata" sheetId="5" r:id="rId5"/>
    <sheet name="6.Gap" sheetId="6" r:id="rId6"/>
    <sheet name="7.Hasil" sheetId="7" r:id="rId7"/>
    <sheet name="8.Perbandingan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8" l="1"/>
  <c r="E25" i="8"/>
  <c r="C25" i="8"/>
  <c r="G24" i="8"/>
  <c r="E24" i="8"/>
  <c r="C24" i="8"/>
  <c r="G23" i="8"/>
  <c r="E23" i="8"/>
  <c r="C23" i="8"/>
  <c r="G22" i="8"/>
  <c r="E22" i="8"/>
  <c r="C22" i="8"/>
  <c r="G21" i="8"/>
  <c r="E21" i="8"/>
  <c r="C21" i="8"/>
  <c r="G20" i="8"/>
  <c r="E20" i="8"/>
  <c r="C20" i="8"/>
  <c r="G19" i="8"/>
  <c r="E19" i="8"/>
  <c r="C19" i="8"/>
  <c r="G18" i="8"/>
  <c r="E18" i="8"/>
  <c r="C18" i="8"/>
  <c r="G17" i="8"/>
  <c r="E17" i="8"/>
  <c r="C17" i="8"/>
  <c r="G16" i="8"/>
  <c r="E16" i="8"/>
  <c r="C16" i="8"/>
  <c r="G15" i="8"/>
  <c r="E15" i="8"/>
  <c r="C15" i="8"/>
  <c r="G14" i="8"/>
  <c r="E14" i="8"/>
  <c r="C14" i="8"/>
  <c r="G13" i="8"/>
  <c r="E13" i="8"/>
  <c r="C13" i="8"/>
  <c r="G12" i="8"/>
  <c r="E12" i="8"/>
  <c r="C12" i="8"/>
  <c r="G11" i="8"/>
  <c r="E11" i="8"/>
  <c r="C11" i="8"/>
  <c r="G10" i="8"/>
  <c r="E10" i="8"/>
  <c r="C10" i="8"/>
  <c r="G9" i="8"/>
  <c r="E9" i="8"/>
  <c r="C9" i="8"/>
  <c r="G8" i="8"/>
  <c r="E8" i="8"/>
  <c r="C8" i="8"/>
  <c r="Q7" i="8"/>
  <c r="O7" i="8"/>
  <c r="M7" i="8"/>
  <c r="G7" i="8"/>
  <c r="E7" i="8"/>
  <c r="C7" i="8"/>
  <c r="G6" i="8"/>
  <c r="E6" i="8"/>
  <c r="C6" i="8"/>
  <c r="E14" i="2"/>
  <c r="E13" i="2"/>
  <c r="E12" i="2"/>
  <c r="E11" i="2"/>
  <c r="E10" i="2"/>
  <c r="E9" i="2"/>
  <c r="E8" i="2"/>
  <c r="E7" i="2"/>
  <c r="E6" i="2"/>
  <c r="E5" i="2"/>
  <c r="K31" i="1"/>
  <c r="J31" i="1"/>
  <c r="I31" i="1"/>
  <c r="H31" i="1"/>
  <c r="G31" i="1"/>
  <c r="F31" i="1"/>
  <c r="E31" i="1"/>
  <c r="D31" i="1"/>
  <c r="C31" i="1"/>
  <c r="B31" i="1"/>
  <c r="K30" i="1"/>
  <c r="J30" i="1"/>
  <c r="I30" i="1"/>
  <c r="H30" i="1"/>
  <c r="G30" i="1"/>
  <c r="F30" i="1"/>
  <c r="E30" i="1"/>
  <c r="D30" i="1"/>
  <c r="C30" i="1"/>
  <c r="B30" i="1"/>
  <c r="Q15" i="8" l="1"/>
  <c r="M12" i="8"/>
  <c r="Q10" i="8"/>
  <c r="O10" i="8"/>
  <c r="M10" i="8"/>
  <c r="Q13" i="8"/>
  <c r="O13" i="8"/>
  <c r="M13" i="8"/>
  <c r="Q6" i="8"/>
  <c r="O6" i="8"/>
  <c r="M6" i="8"/>
  <c r="F6" i="2"/>
  <c r="Q25" i="8"/>
  <c r="O25" i="8"/>
  <c r="M25" i="8"/>
  <c r="Q24" i="8"/>
  <c r="O24" i="8"/>
  <c r="M24" i="8"/>
  <c r="Q23" i="8"/>
  <c r="O23" i="8"/>
  <c r="M23" i="8"/>
  <c r="Q22" i="8"/>
  <c r="O22" i="8"/>
  <c r="M22" i="8"/>
  <c r="M21" i="8"/>
  <c r="Q20" i="8"/>
  <c r="O20" i="8"/>
  <c r="M20" i="8"/>
  <c r="Q19" i="8"/>
  <c r="O19" i="8"/>
  <c r="M19" i="8"/>
  <c r="Q18" i="8"/>
  <c r="O18" i="8"/>
  <c r="M16" i="8"/>
  <c r="O15" i="8"/>
  <c r="M15" i="8"/>
  <c r="Q12" i="8"/>
  <c r="O12" i="8"/>
  <c r="Q11" i="8"/>
  <c r="O11" i="8"/>
  <c r="M9" i="8"/>
  <c r="Q8" i="8"/>
  <c r="O8" i="8"/>
  <c r="Q16" i="8"/>
  <c r="M11" i="8"/>
  <c r="Q9" i="8"/>
  <c r="O9" i="8"/>
  <c r="M8" i="8"/>
  <c r="Q21" i="8"/>
  <c r="O21" i="8"/>
  <c r="M18" i="8"/>
  <c r="Q17" i="8"/>
  <c r="O17" i="8"/>
  <c r="M17" i="8"/>
  <c r="O16" i="8"/>
  <c r="Q14" i="8"/>
  <c r="O14" i="8"/>
  <c r="M14" i="8"/>
  <c r="K4" i="3"/>
  <c r="J4" i="3"/>
  <c r="I4" i="3"/>
  <c r="H4" i="3"/>
  <c r="G4" i="3"/>
  <c r="F4" i="3"/>
  <c r="E4" i="3"/>
  <c r="D4" i="3"/>
  <c r="C4" i="3"/>
  <c r="B4" i="3"/>
  <c r="K3" i="3"/>
  <c r="J3" i="3"/>
  <c r="I3" i="3"/>
  <c r="H3" i="3"/>
  <c r="G3" i="3"/>
  <c r="F3" i="3"/>
  <c r="E3" i="3"/>
  <c r="D3" i="3"/>
  <c r="C3" i="3"/>
  <c r="B3" i="3"/>
  <c r="F7" i="2" l="1"/>
  <c r="K6" i="3"/>
  <c r="K7" i="3"/>
  <c r="K8" i="3"/>
  <c r="K9" i="3"/>
  <c r="K10" i="3"/>
  <c r="K11" i="3"/>
  <c r="K12" i="3"/>
  <c r="K13" i="3"/>
  <c r="K15" i="3"/>
  <c r="K17" i="3"/>
  <c r="K18" i="3"/>
  <c r="K19" i="3"/>
  <c r="K20" i="3"/>
  <c r="K21" i="3"/>
  <c r="K22" i="3"/>
  <c r="K23" i="3"/>
  <c r="K24" i="3"/>
  <c r="K25" i="3"/>
  <c r="K16" i="3"/>
  <c r="K14" i="3"/>
  <c r="J6" i="3"/>
  <c r="J7" i="3"/>
  <c r="J8" i="3"/>
  <c r="J9" i="3"/>
  <c r="J10" i="3"/>
  <c r="J11" i="3"/>
  <c r="J12" i="3"/>
  <c r="J13" i="3"/>
  <c r="J16" i="3"/>
  <c r="J18" i="3"/>
  <c r="J19" i="3"/>
  <c r="J20" i="3"/>
  <c r="J21" i="3"/>
  <c r="J22" i="3"/>
  <c r="J23" i="3"/>
  <c r="J24" i="3"/>
  <c r="J25" i="3"/>
  <c r="J14" i="3"/>
  <c r="J15" i="3"/>
  <c r="J17" i="3"/>
  <c r="I6" i="3"/>
  <c r="I7" i="3"/>
  <c r="I8" i="3"/>
  <c r="I9" i="3"/>
  <c r="I10" i="3"/>
  <c r="I11" i="3"/>
  <c r="I12" i="3"/>
  <c r="I13" i="3"/>
  <c r="I14" i="3"/>
  <c r="I17" i="3"/>
  <c r="I18" i="3"/>
  <c r="I19" i="3"/>
  <c r="I20" i="3"/>
  <c r="I21" i="3"/>
  <c r="I22" i="3"/>
  <c r="I23" i="3"/>
  <c r="I24" i="3"/>
  <c r="I25" i="3"/>
  <c r="I16" i="3"/>
  <c r="I15" i="3"/>
  <c r="H6" i="3"/>
  <c r="H7" i="3"/>
  <c r="H8" i="3"/>
  <c r="H9" i="3"/>
  <c r="H10" i="3"/>
  <c r="H11" i="3"/>
  <c r="H12" i="3"/>
  <c r="H13" i="3"/>
  <c r="H16" i="3"/>
  <c r="H18" i="3"/>
  <c r="H19" i="3"/>
  <c r="H20" i="3"/>
  <c r="H21" i="3"/>
  <c r="H22" i="3"/>
  <c r="H23" i="3"/>
  <c r="H24" i="3"/>
  <c r="H25" i="3"/>
  <c r="H14" i="3"/>
  <c r="H15" i="3"/>
  <c r="H17" i="3"/>
  <c r="G6" i="3"/>
  <c r="G7" i="3"/>
  <c r="G8" i="3"/>
  <c r="G9" i="3"/>
  <c r="G10" i="3"/>
  <c r="G11" i="3"/>
  <c r="G12" i="3"/>
  <c r="G13" i="3"/>
  <c r="G15" i="3"/>
  <c r="G17" i="3"/>
  <c r="G18" i="3"/>
  <c r="G19" i="3"/>
  <c r="G20" i="3"/>
  <c r="G21" i="3"/>
  <c r="G22" i="3"/>
  <c r="G23" i="3"/>
  <c r="G24" i="3"/>
  <c r="G25" i="3"/>
  <c r="G14" i="3"/>
  <c r="G16" i="3"/>
  <c r="F6" i="3"/>
  <c r="F7" i="3"/>
  <c r="F8" i="3"/>
  <c r="F9" i="3"/>
  <c r="F10" i="3"/>
  <c r="F11" i="3"/>
  <c r="F12" i="3"/>
  <c r="F13" i="3"/>
  <c r="F14" i="3"/>
  <c r="F17" i="3"/>
  <c r="F18" i="3"/>
  <c r="F19" i="3"/>
  <c r="F20" i="3"/>
  <c r="F21" i="3"/>
  <c r="F22" i="3"/>
  <c r="F23" i="3"/>
  <c r="F24" i="3"/>
  <c r="F25" i="3"/>
  <c r="F16" i="3"/>
  <c r="F15" i="3"/>
  <c r="E6" i="3"/>
  <c r="E7" i="3"/>
  <c r="E8" i="3"/>
  <c r="E9" i="3"/>
  <c r="E10" i="3"/>
  <c r="E11" i="3"/>
  <c r="E12" i="3"/>
  <c r="E13" i="3"/>
  <c r="E14" i="3"/>
  <c r="E16" i="3"/>
  <c r="E18" i="3"/>
  <c r="E19" i="3"/>
  <c r="E20" i="3"/>
  <c r="E21" i="3"/>
  <c r="E22" i="3"/>
  <c r="E23" i="3"/>
  <c r="E24" i="3"/>
  <c r="E25" i="3"/>
  <c r="E15" i="3"/>
  <c r="E17" i="3"/>
  <c r="D6" i="3"/>
  <c r="D7" i="3"/>
  <c r="D8" i="3"/>
  <c r="D9" i="3"/>
  <c r="D10" i="3"/>
  <c r="D11" i="3"/>
  <c r="D12" i="3"/>
  <c r="D13" i="3"/>
  <c r="D14" i="3"/>
  <c r="D15" i="3"/>
  <c r="D18" i="3"/>
  <c r="D19" i="3"/>
  <c r="D20" i="3"/>
  <c r="D21" i="3"/>
  <c r="D22" i="3"/>
  <c r="D23" i="3"/>
  <c r="D24" i="3"/>
  <c r="D25" i="3"/>
  <c r="D16" i="3"/>
  <c r="D17" i="3"/>
  <c r="C6" i="3"/>
  <c r="C7" i="3"/>
  <c r="C8" i="3"/>
  <c r="C9" i="3"/>
  <c r="C10" i="3"/>
  <c r="C11" i="3"/>
  <c r="C12" i="3"/>
  <c r="C13" i="3"/>
  <c r="C14" i="3"/>
  <c r="C17" i="3"/>
  <c r="C18" i="3"/>
  <c r="C19" i="3"/>
  <c r="C20" i="3"/>
  <c r="C21" i="3"/>
  <c r="C22" i="3"/>
  <c r="C23" i="3"/>
  <c r="C24" i="3"/>
  <c r="C25" i="3"/>
  <c r="C15" i="3"/>
  <c r="C16" i="3"/>
  <c r="B6" i="3"/>
  <c r="B7" i="3"/>
  <c r="B8" i="3"/>
  <c r="B9" i="3"/>
  <c r="B10" i="3"/>
  <c r="B11" i="3"/>
  <c r="B12" i="3"/>
  <c r="B13" i="3"/>
  <c r="B14" i="3"/>
  <c r="B19" i="3"/>
  <c r="B20" i="3"/>
  <c r="B21" i="3"/>
  <c r="B22" i="3"/>
  <c r="B23" i="3"/>
  <c r="B24" i="3"/>
  <c r="B25" i="3"/>
  <c r="B15" i="3"/>
  <c r="B16" i="3"/>
  <c r="B18" i="3"/>
  <c r="B17" i="3"/>
  <c r="F8" i="2" l="1"/>
  <c r="F9" i="2" l="1"/>
  <c r="F10" i="2" l="1"/>
  <c r="F11" i="2" l="1"/>
  <c r="F12" i="2" l="1"/>
  <c r="F13" i="2" l="1"/>
  <c r="F14" i="2" l="1"/>
  <c r="F15" i="2" l="1"/>
  <c r="G14" i="2"/>
  <c r="F26" i="2" s="1"/>
  <c r="G13" i="2" l="1"/>
  <c r="F28" i="2" s="1"/>
  <c r="G12" i="2"/>
  <c r="F24" i="2" s="1"/>
  <c r="G11" i="2"/>
  <c r="F25" i="2" s="1"/>
  <c r="G5" i="2"/>
  <c r="G6" i="2"/>
  <c r="F22" i="2" s="1"/>
  <c r="G7" i="2"/>
  <c r="F20" i="2" s="1"/>
  <c r="G8" i="2"/>
  <c r="F19" i="2" s="1"/>
  <c r="G9" i="2"/>
  <c r="F23" i="2" s="1"/>
  <c r="G10" i="2"/>
  <c r="F27" i="2" s="1"/>
  <c r="E35" i="7"/>
  <c r="I3" i="4"/>
  <c r="I5" i="4"/>
  <c r="I6" i="4"/>
  <c r="I7" i="4"/>
  <c r="I8" i="4"/>
  <c r="I9" i="4"/>
  <c r="I10" i="4"/>
  <c r="I11" i="4"/>
  <c r="I12" i="4"/>
  <c r="I13" i="4"/>
  <c r="I14" i="4"/>
  <c r="I15" i="4"/>
  <c r="I16" i="4"/>
  <c r="I18" i="4"/>
  <c r="I17" i="4"/>
  <c r="I19" i="4"/>
  <c r="I20" i="4"/>
  <c r="I21" i="4"/>
  <c r="I22" i="4"/>
  <c r="I23" i="4"/>
  <c r="I24" i="4"/>
  <c r="K24" i="4" l="1"/>
  <c r="K23" i="4"/>
  <c r="K22" i="4"/>
  <c r="K21" i="4"/>
  <c r="K19" i="4"/>
  <c r="K17" i="4"/>
  <c r="K16" i="4"/>
  <c r="K20" i="4"/>
  <c r="K18" i="4"/>
  <c r="K15" i="4"/>
  <c r="K14" i="4"/>
  <c r="K13" i="4"/>
  <c r="K12" i="4"/>
  <c r="K11" i="4"/>
  <c r="K10" i="4"/>
  <c r="K9" i="4"/>
  <c r="K8" i="4"/>
  <c r="K7" i="4"/>
  <c r="K6" i="4"/>
  <c r="K5" i="4"/>
  <c r="K3" i="4"/>
  <c r="E37" i="7"/>
  <c r="G24" i="4"/>
  <c r="G23" i="4"/>
  <c r="G22" i="4"/>
  <c r="G20" i="4"/>
  <c r="G18" i="4"/>
  <c r="G17" i="4"/>
  <c r="G21" i="4"/>
  <c r="G19" i="4"/>
  <c r="G16" i="4"/>
  <c r="E33" i="7"/>
  <c r="G15" i="4"/>
  <c r="G14" i="4"/>
  <c r="G13" i="4"/>
  <c r="G12" i="4"/>
  <c r="G11" i="4"/>
  <c r="G10" i="4"/>
  <c r="G9" i="4"/>
  <c r="G8" i="4"/>
  <c r="G7" i="4"/>
  <c r="G6" i="4"/>
  <c r="G5" i="4"/>
  <c r="G3" i="4"/>
  <c r="H24" i="4"/>
  <c r="H23" i="4"/>
  <c r="H22" i="4"/>
  <c r="H21" i="4"/>
  <c r="H19" i="4"/>
  <c r="H18" i="4"/>
  <c r="H20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3" i="4"/>
  <c r="E34" i="7"/>
  <c r="F21" i="2"/>
  <c r="G15" i="2"/>
  <c r="E24" i="4"/>
  <c r="E23" i="4"/>
  <c r="E22" i="4"/>
  <c r="E20" i="4"/>
  <c r="E18" i="4"/>
  <c r="E17" i="4"/>
  <c r="E21" i="4"/>
  <c r="E19" i="4"/>
  <c r="E16" i="4"/>
  <c r="E31" i="7"/>
  <c r="E15" i="4"/>
  <c r="E14" i="4"/>
  <c r="E13" i="4"/>
  <c r="E12" i="4"/>
  <c r="E11" i="4"/>
  <c r="E10" i="4"/>
  <c r="E9" i="4"/>
  <c r="E8" i="4"/>
  <c r="E7" i="4"/>
  <c r="E6" i="4"/>
  <c r="E5" i="4"/>
  <c r="E3" i="4"/>
  <c r="C24" i="4"/>
  <c r="C23" i="4"/>
  <c r="C22" i="4"/>
  <c r="C20" i="4"/>
  <c r="C18" i="4"/>
  <c r="C17" i="4"/>
  <c r="C16" i="4"/>
  <c r="C21" i="4"/>
  <c r="C19" i="4"/>
  <c r="E29" i="7"/>
  <c r="C15" i="4"/>
  <c r="C14" i="4"/>
  <c r="C13" i="4"/>
  <c r="C12" i="4"/>
  <c r="C11" i="4"/>
  <c r="C10" i="4"/>
  <c r="C9" i="4"/>
  <c r="C8" i="4"/>
  <c r="C7" i="4"/>
  <c r="C6" i="4"/>
  <c r="C5" i="4"/>
  <c r="C3" i="4"/>
  <c r="B24" i="4"/>
  <c r="B23" i="4"/>
  <c r="B22" i="4"/>
  <c r="B21" i="4"/>
  <c r="B19" i="4"/>
  <c r="B20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3" i="4"/>
  <c r="E28" i="7"/>
  <c r="F24" i="4"/>
  <c r="F23" i="4"/>
  <c r="F22" i="4"/>
  <c r="F19" i="4"/>
  <c r="F18" i="4"/>
  <c r="F16" i="4"/>
  <c r="F21" i="4"/>
  <c r="F20" i="4"/>
  <c r="F17" i="4"/>
  <c r="F15" i="4"/>
  <c r="F14" i="4"/>
  <c r="F13" i="4"/>
  <c r="F12" i="4"/>
  <c r="F11" i="4"/>
  <c r="F10" i="4"/>
  <c r="F9" i="4"/>
  <c r="F8" i="4"/>
  <c r="F7" i="4"/>
  <c r="F6" i="4"/>
  <c r="F5" i="4"/>
  <c r="F3" i="4"/>
  <c r="E32" i="7"/>
  <c r="J24" i="4"/>
  <c r="J23" i="4"/>
  <c r="J22" i="4"/>
  <c r="J21" i="4"/>
  <c r="J20" i="4"/>
  <c r="J18" i="4"/>
  <c r="J19" i="4"/>
  <c r="J17" i="4"/>
  <c r="J16" i="4"/>
  <c r="E36" i="7"/>
  <c r="J15" i="4"/>
  <c r="J14" i="4"/>
  <c r="J13" i="4"/>
  <c r="J12" i="4"/>
  <c r="J11" i="4"/>
  <c r="J10" i="4"/>
  <c r="J9" i="4"/>
  <c r="J8" i="4"/>
  <c r="J7" i="4"/>
  <c r="J6" i="4"/>
  <c r="J5" i="4"/>
  <c r="J3" i="4"/>
  <c r="I4" i="5"/>
  <c r="I4" i="6"/>
  <c r="I5" i="5"/>
  <c r="I6" i="5"/>
  <c r="I7" i="6"/>
  <c r="I7" i="5"/>
  <c r="I8" i="5"/>
  <c r="I9" i="5"/>
  <c r="I10" i="5"/>
  <c r="I10" i="6"/>
  <c r="I11" i="5"/>
  <c r="I11" i="6"/>
  <c r="I12" i="5"/>
  <c r="I12" i="6"/>
  <c r="I13" i="5"/>
  <c r="I13" i="6"/>
  <c r="I14" i="5"/>
  <c r="I15" i="5"/>
  <c r="I17" i="5"/>
  <c r="I16" i="5"/>
  <c r="I18" i="5"/>
  <c r="I18" i="6"/>
  <c r="I19" i="5"/>
  <c r="I20" i="5"/>
  <c r="I20" i="6"/>
  <c r="I21" i="5"/>
  <c r="I21" i="6"/>
  <c r="I22" i="5"/>
  <c r="I23" i="5"/>
  <c r="K23" i="5" l="1"/>
  <c r="K23" i="6"/>
  <c r="K22" i="5"/>
  <c r="K22" i="6"/>
  <c r="K21" i="5"/>
  <c r="K20" i="5"/>
  <c r="K18" i="5"/>
  <c r="K16" i="5"/>
  <c r="K15" i="5"/>
  <c r="K15" i="6"/>
  <c r="K19" i="5"/>
  <c r="K17" i="5"/>
  <c r="K14" i="5"/>
  <c r="K13" i="5"/>
  <c r="K13" i="6"/>
  <c r="K12" i="5"/>
  <c r="K11" i="5"/>
  <c r="K10" i="5"/>
  <c r="K9" i="5"/>
  <c r="K8" i="5"/>
  <c r="K8" i="6"/>
  <c r="K7" i="5"/>
  <c r="K6" i="5"/>
  <c r="K6" i="6"/>
  <c r="K5" i="5"/>
  <c r="K4" i="5"/>
  <c r="K4" i="6"/>
  <c r="G23" i="5"/>
  <c r="G22" i="5"/>
  <c r="G21" i="5"/>
  <c r="G21" i="6"/>
  <c r="G19" i="5"/>
  <c r="G19" i="6"/>
  <c r="G17" i="5"/>
  <c r="G17" i="6"/>
  <c r="G16" i="5"/>
  <c r="G16" i="6"/>
  <c r="G20" i="5"/>
  <c r="G20" i="6"/>
  <c r="G18" i="5"/>
  <c r="G18" i="6"/>
  <c r="G15" i="5"/>
  <c r="G15" i="6"/>
  <c r="G14" i="5"/>
  <c r="G14" i="6"/>
  <c r="G13" i="5"/>
  <c r="G13" i="6"/>
  <c r="G12" i="5"/>
  <c r="G12" i="6"/>
  <c r="G11" i="5"/>
  <c r="G10" i="5"/>
  <c r="G10" i="6"/>
  <c r="G9" i="5"/>
  <c r="G9" i="6"/>
  <c r="G8" i="5"/>
  <c r="G8" i="6"/>
  <c r="G7" i="5"/>
  <c r="G7" i="6"/>
  <c r="G6" i="5"/>
  <c r="G6" i="6"/>
  <c r="G5" i="5"/>
  <c r="G5" i="6"/>
  <c r="G4" i="5"/>
  <c r="G4" i="6"/>
  <c r="H23" i="5"/>
  <c r="H23" i="6"/>
  <c r="H22" i="5"/>
  <c r="H22" i="6"/>
  <c r="H21" i="5"/>
  <c r="H21" i="6"/>
  <c r="H20" i="5"/>
  <c r="H20" i="6"/>
  <c r="H18" i="5"/>
  <c r="H17" i="5"/>
  <c r="H19" i="5"/>
  <c r="H16" i="5"/>
  <c r="H16" i="6"/>
  <c r="H15" i="5"/>
  <c r="H14" i="5"/>
  <c r="H13" i="5"/>
  <c r="H12" i="5"/>
  <c r="H12" i="6"/>
  <c r="H11" i="5"/>
  <c r="H11" i="6"/>
  <c r="H10" i="5"/>
  <c r="H9" i="5"/>
  <c r="H9" i="6"/>
  <c r="H8" i="5"/>
  <c r="H8" i="6"/>
  <c r="H7" i="5"/>
  <c r="H6" i="5"/>
  <c r="H5" i="5"/>
  <c r="H5" i="6"/>
  <c r="H4" i="5"/>
  <c r="H4" i="6"/>
  <c r="E30" i="7"/>
  <c r="D3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20" i="4"/>
  <c r="D21" i="4"/>
  <c r="D22" i="4"/>
  <c r="D19" i="4"/>
  <c r="D23" i="4"/>
  <c r="D24" i="4"/>
  <c r="E23" i="5"/>
  <c r="E23" i="6"/>
  <c r="E22" i="5"/>
  <c r="E22" i="6"/>
  <c r="E21" i="5"/>
  <c r="E21" i="6"/>
  <c r="E19" i="5"/>
  <c r="E19" i="6"/>
  <c r="E17" i="5"/>
  <c r="E17" i="6"/>
  <c r="E16" i="5"/>
  <c r="E16" i="6"/>
  <c r="E20" i="5"/>
  <c r="E20" i="6"/>
  <c r="E18" i="5"/>
  <c r="E18" i="6"/>
  <c r="E15" i="5"/>
  <c r="E15" i="6"/>
  <c r="E14" i="5"/>
  <c r="E14" i="6"/>
  <c r="E13" i="5"/>
  <c r="E12" i="5"/>
  <c r="E12" i="6"/>
  <c r="E11" i="5"/>
  <c r="E10" i="5"/>
  <c r="E10" i="6"/>
  <c r="E9" i="5"/>
  <c r="E9" i="6"/>
  <c r="E8" i="5"/>
  <c r="E7" i="5"/>
  <c r="E7" i="6"/>
  <c r="E6" i="5"/>
  <c r="E6" i="6"/>
  <c r="E5" i="5"/>
  <c r="E5" i="6"/>
  <c r="E4" i="5"/>
  <c r="E4" i="6"/>
  <c r="C23" i="5"/>
  <c r="C22" i="5"/>
  <c r="C22" i="6"/>
  <c r="C21" i="5"/>
  <c r="C21" i="6"/>
  <c r="C19" i="5"/>
  <c r="C19" i="6"/>
  <c r="C17" i="5"/>
  <c r="C17" i="6"/>
  <c r="C16" i="5"/>
  <c r="C16" i="6"/>
  <c r="C15" i="5"/>
  <c r="C15" i="6"/>
  <c r="C20" i="5"/>
  <c r="C20" i="6"/>
  <c r="C18" i="5"/>
  <c r="C18" i="6"/>
  <c r="C14" i="5"/>
  <c r="C14" i="6"/>
  <c r="C13" i="5"/>
  <c r="C13" i="6"/>
  <c r="C12" i="5"/>
  <c r="C11" i="5"/>
  <c r="C11" i="6"/>
  <c r="C10" i="5"/>
  <c r="C10" i="6"/>
  <c r="C9" i="5"/>
  <c r="C8" i="5"/>
  <c r="C7" i="5"/>
  <c r="C7" i="6"/>
  <c r="C6" i="5"/>
  <c r="C5" i="5"/>
  <c r="C4" i="5"/>
  <c r="B23" i="5"/>
  <c r="B22" i="5"/>
  <c r="B21" i="5"/>
  <c r="B20" i="5"/>
  <c r="B18" i="5"/>
  <c r="B18" i="6"/>
  <c r="B19" i="5"/>
  <c r="B19" i="6"/>
  <c r="B17" i="5"/>
  <c r="B16" i="5"/>
  <c r="B15" i="5"/>
  <c r="B14" i="5"/>
  <c r="B14" i="6"/>
  <c r="B13" i="5"/>
  <c r="B13" i="6"/>
  <c r="B12" i="5"/>
  <c r="B12" i="6"/>
  <c r="B11" i="5"/>
  <c r="B10" i="5"/>
  <c r="B10" i="6"/>
  <c r="B9" i="5"/>
  <c r="B9" i="6"/>
  <c r="B8" i="5"/>
  <c r="B8" i="6"/>
  <c r="B7" i="5"/>
  <c r="B7" i="6"/>
  <c r="B6" i="5"/>
  <c r="B5" i="5"/>
  <c r="B4" i="5"/>
  <c r="B4" i="6"/>
  <c r="F23" i="5"/>
  <c r="F23" i="6"/>
  <c r="F22" i="5"/>
  <c r="F22" i="6"/>
  <c r="F21" i="5"/>
  <c r="F21" i="6"/>
  <c r="F18" i="5"/>
  <c r="F18" i="6"/>
  <c r="F17" i="5"/>
  <c r="F17" i="6"/>
  <c r="F15" i="5"/>
  <c r="F15" i="6"/>
  <c r="F20" i="5"/>
  <c r="F20" i="6"/>
  <c r="F19" i="5"/>
  <c r="F19" i="6"/>
  <c r="F16" i="5"/>
  <c r="F16" i="6"/>
  <c r="F14" i="5"/>
  <c r="F14" i="6"/>
  <c r="F13" i="5"/>
  <c r="F13" i="6"/>
  <c r="F12" i="5"/>
  <c r="F12" i="6"/>
  <c r="F11" i="5"/>
  <c r="F10" i="5"/>
  <c r="F10" i="6"/>
  <c r="F9" i="5"/>
  <c r="F8" i="5"/>
  <c r="F7" i="5"/>
  <c r="F6" i="5"/>
  <c r="F6" i="6"/>
  <c r="F5" i="5"/>
  <c r="F4" i="5"/>
  <c r="J23" i="5"/>
  <c r="J22" i="5"/>
  <c r="J21" i="5"/>
  <c r="J21" i="6"/>
  <c r="J20" i="5"/>
  <c r="J20" i="6"/>
  <c r="J19" i="5"/>
  <c r="J17" i="5"/>
  <c r="J18" i="5"/>
  <c r="J16" i="5"/>
  <c r="J15" i="5"/>
  <c r="J14" i="5"/>
  <c r="J13" i="5"/>
  <c r="J12" i="5"/>
  <c r="J12" i="6"/>
  <c r="J11" i="5"/>
  <c r="J10" i="5"/>
  <c r="J9" i="5"/>
  <c r="J9" i="6"/>
  <c r="J8" i="5"/>
  <c r="J8" i="6"/>
  <c r="J7" i="5"/>
  <c r="J7" i="6"/>
  <c r="J6" i="5"/>
  <c r="J6" i="6"/>
  <c r="J5" i="5"/>
  <c r="J5" i="6"/>
  <c r="J4" i="5"/>
  <c r="J4" i="6"/>
  <c r="I9" i="6"/>
  <c r="I14" i="6"/>
  <c r="I6" i="6"/>
  <c r="I5" i="6"/>
  <c r="I8" i="6"/>
  <c r="I17" i="6"/>
  <c r="I16" i="6"/>
  <c r="I22" i="6"/>
  <c r="I15" i="6"/>
  <c r="I19" i="6"/>
  <c r="I23" i="6"/>
  <c r="D4" i="5" l="1"/>
  <c r="D4" i="6"/>
  <c r="D5" i="5"/>
  <c r="D5" i="6"/>
  <c r="D6" i="5"/>
  <c r="D6" i="6"/>
  <c r="D7" i="5"/>
  <c r="D8" i="5"/>
  <c r="D8" i="6"/>
  <c r="D9" i="5"/>
  <c r="D10" i="5"/>
  <c r="D11" i="5"/>
  <c r="D11" i="6"/>
  <c r="D12" i="5"/>
  <c r="D12" i="6"/>
  <c r="D13" i="5"/>
  <c r="D13" i="6"/>
  <c r="D14" i="5"/>
  <c r="D14" i="6"/>
  <c r="D15" i="5"/>
  <c r="D15" i="6"/>
  <c r="D16" i="5"/>
  <c r="D16" i="6"/>
  <c r="D17" i="5"/>
  <c r="D17" i="6"/>
  <c r="D19" i="5"/>
  <c r="D19" i="6"/>
  <c r="D20" i="5"/>
  <c r="D20" i="6"/>
  <c r="D21" i="5"/>
  <c r="D21" i="6"/>
  <c r="D18" i="5"/>
  <c r="D18" i="6"/>
  <c r="D22" i="5"/>
  <c r="D23" i="5"/>
  <c r="G11" i="6"/>
  <c r="H18" i="6"/>
  <c r="H17" i="6"/>
  <c r="H15" i="6"/>
  <c r="H19" i="6"/>
  <c r="H14" i="6"/>
  <c r="H13" i="6"/>
  <c r="H10" i="6"/>
  <c r="H7" i="6"/>
  <c r="H6" i="6"/>
  <c r="G22" i="6"/>
  <c r="E8" i="6"/>
  <c r="C23" i="6"/>
  <c r="C4" i="6"/>
  <c r="B23" i="6"/>
  <c r="B22" i="6"/>
  <c r="B15" i="6"/>
  <c r="F4" i="6"/>
  <c r="J22" i="6"/>
  <c r="J17" i="6"/>
  <c r="K14" i="6"/>
  <c r="K11" i="6"/>
  <c r="K10" i="6"/>
  <c r="E13" i="6"/>
  <c r="E11" i="6"/>
  <c r="C6" i="6"/>
  <c r="C5" i="6"/>
  <c r="B21" i="6"/>
  <c r="G23" i="6"/>
  <c r="C12" i="6"/>
  <c r="C9" i="6"/>
  <c r="C8" i="6"/>
  <c r="B20" i="6"/>
  <c r="B17" i="6"/>
  <c r="B16" i="6"/>
  <c r="B11" i="6"/>
  <c r="F11" i="6"/>
  <c r="F9" i="6"/>
  <c r="F7" i="6"/>
  <c r="J19" i="6"/>
  <c r="J15" i="6"/>
  <c r="J13" i="6"/>
  <c r="K19" i="6"/>
  <c r="K7" i="6"/>
  <c r="J23" i="6"/>
  <c r="J16" i="6"/>
  <c r="K12" i="6"/>
  <c r="B6" i="6"/>
  <c r="L6" i="6" s="1"/>
  <c r="B5" i="6"/>
  <c r="F5" i="6"/>
  <c r="K20" i="6"/>
  <c r="K17" i="6"/>
  <c r="J18" i="6"/>
  <c r="J14" i="6"/>
  <c r="J11" i="6"/>
  <c r="K21" i="6"/>
  <c r="F8" i="6"/>
  <c r="K18" i="6"/>
  <c r="K5" i="6"/>
  <c r="J10" i="6"/>
  <c r="K16" i="6"/>
  <c r="K9" i="6"/>
  <c r="C6" i="7" l="1"/>
  <c r="H8" i="8" s="1"/>
  <c r="D7" i="6"/>
  <c r="L7" i="6" s="1"/>
  <c r="D9" i="6"/>
  <c r="L9" i="6" s="1"/>
  <c r="D10" i="6"/>
  <c r="L10" i="6" s="1"/>
  <c r="D23" i="6"/>
  <c r="L23" i="6" s="1"/>
  <c r="L13" i="6"/>
  <c r="L14" i="6"/>
  <c r="L19" i="6"/>
  <c r="L18" i="6"/>
  <c r="D22" i="6"/>
  <c r="L22" i="6" s="1"/>
  <c r="L5" i="6"/>
  <c r="L11" i="6"/>
  <c r="L4" i="6"/>
  <c r="L15" i="6"/>
  <c r="L21" i="6"/>
  <c r="L12" i="6"/>
  <c r="L8" i="6"/>
  <c r="L20" i="6"/>
  <c r="L17" i="6"/>
  <c r="L16" i="6"/>
  <c r="M7" i="6" l="1"/>
  <c r="D7" i="7" s="1"/>
  <c r="C7" i="7"/>
  <c r="H9" i="8" s="1"/>
  <c r="C9" i="7"/>
  <c r="H11" i="8" s="1"/>
  <c r="M9" i="6"/>
  <c r="D9" i="7" s="1"/>
  <c r="C10" i="7"/>
  <c r="H12" i="8" s="1"/>
  <c r="M10" i="6"/>
  <c r="D10" i="7" s="1"/>
  <c r="M23" i="6"/>
  <c r="D23" i="7" s="1"/>
  <c r="C23" i="7"/>
  <c r="H25" i="8" s="1"/>
  <c r="M13" i="6"/>
  <c r="D13" i="7" s="1"/>
  <c r="C13" i="7"/>
  <c r="H15" i="8" s="1"/>
  <c r="C14" i="7"/>
  <c r="H16" i="8" s="1"/>
  <c r="M14" i="6"/>
  <c r="D14" i="7" s="1"/>
  <c r="M19" i="6"/>
  <c r="D19" i="7" s="1"/>
  <c r="C19" i="7"/>
  <c r="H21" i="8" s="1"/>
  <c r="M18" i="6"/>
  <c r="D18" i="7" s="1"/>
  <c r="C18" i="7"/>
  <c r="H20" i="8" s="1"/>
  <c r="M22" i="6"/>
  <c r="D22" i="7" s="1"/>
  <c r="C22" i="7"/>
  <c r="H24" i="8" s="1"/>
  <c r="C5" i="7"/>
  <c r="H7" i="8" s="1"/>
  <c r="M5" i="6"/>
  <c r="D5" i="7" s="1"/>
  <c r="C11" i="7"/>
  <c r="H13" i="8" s="1"/>
  <c r="M11" i="6"/>
  <c r="D11" i="7" s="1"/>
  <c r="M4" i="6"/>
  <c r="D4" i="7" s="1"/>
  <c r="C4" i="7"/>
  <c r="H6" i="8" s="1"/>
  <c r="M15" i="6"/>
  <c r="D15" i="7" s="1"/>
  <c r="C15" i="7"/>
  <c r="H17" i="8" s="1"/>
  <c r="M21" i="6"/>
  <c r="D21" i="7" s="1"/>
  <c r="C21" i="7"/>
  <c r="H23" i="8" s="1"/>
  <c r="M12" i="6"/>
  <c r="D12" i="7" s="1"/>
  <c r="C12" i="7"/>
  <c r="H14" i="8" s="1"/>
  <c r="M8" i="6"/>
  <c r="D8" i="7" s="1"/>
  <c r="C8" i="7"/>
  <c r="H10" i="8" s="1"/>
  <c r="M20" i="6"/>
  <c r="D20" i="7" s="1"/>
  <c r="C20" i="7"/>
  <c r="H22" i="8" s="1"/>
  <c r="M17" i="6"/>
  <c r="D17" i="7" s="1"/>
  <c r="C17" i="7"/>
  <c r="H19" i="8" s="1"/>
  <c r="M16" i="6"/>
  <c r="D16" i="7" s="1"/>
  <c r="C16" i="7"/>
  <c r="H18" i="8" s="1"/>
  <c r="M6" i="6"/>
  <c r="D6" i="7" s="1"/>
  <c r="I9" i="8" l="1"/>
  <c r="L9" i="8" s="1"/>
  <c r="E7" i="7"/>
  <c r="E9" i="7"/>
  <c r="I11" i="8"/>
  <c r="L11" i="8" s="1"/>
  <c r="E10" i="7"/>
  <c r="I12" i="8"/>
  <c r="L12" i="8" s="1"/>
  <c r="I25" i="8"/>
  <c r="L25" i="8" s="1"/>
  <c r="E23" i="7"/>
  <c r="E13" i="7"/>
  <c r="I15" i="8"/>
  <c r="L15" i="8" s="1"/>
  <c r="E14" i="7"/>
  <c r="I16" i="8"/>
  <c r="L16" i="8" s="1"/>
  <c r="I21" i="8"/>
  <c r="L21" i="8" s="1"/>
  <c r="E19" i="7"/>
  <c r="I20" i="8"/>
  <c r="L20" i="8" s="1"/>
  <c r="E18" i="7"/>
  <c r="I24" i="8"/>
  <c r="L24" i="8" s="1"/>
  <c r="E22" i="7"/>
  <c r="E5" i="7"/>
  <c r="I7" i="8"/>
  <c r="L7" i="8" s="1"/>
  <c r="E11" i="7"/>
  <c r="I13" i="8"/>
  <c r="L13" i="8" s="1"/>
  <c r="I6" i="8"/>
  <c r="L6" i="8" s="1"/>
  <c r="E4" i="7"/>
  <c r="E15" i="7"/>
  <c r="I17" i="8"/>
  <c r="L17" i="8" s="1"/>
  <c r="E21" i="7"/>
  <c r="I23" i="8"/>
  <c r="L23" i="8" s="1"/>
  <c r="E12" i="7"/>
  <c r="I14" i="8"/>
  <c r="L14" i="8" s="1"/>
  <c r="E8" i="7"/>
  <c r="I10" i="8"/>
  <c r="L10" i="8" s="1"/>
  <c r="E20" i="7"/>
  <c r="I22" i="8"/>
  <c r="L22" i="8" s="1"/>
  <c r="I19" i="8"/>
  <c r="L19" i="8" s="1"/>
  <c r="E17" i="7"/>
  <c r="E16" i="7"/>
  <c r="I18" i="8"/>
  <c r="L18" i="8" s="1"/>
  <c r="E6" i="7"/>
  <c r="I8" i="8"/>
  <c r="L8" i="8" s="1"/>
  <c r="P9" i="8" l="1"/>
  <c r="R9" i="8"/>
  <c r="N9" i="8"/>
  <c r="P11" i="8"/>
  <c r="R11" i="8"/>
  <c r="N11" i="8"/>
  <c r="P12" i="8"/>
  <c r="N12" i="8"/>
  <c r="R12" i="8"/>
  <c r="N25" i="8"/>
  <c r="P25" i="8"/>
  <c r="R25" i="8"/>
  <c r="N15" i="8"/>
  <c r="P15" i="8"/>
  <c r="R15" i="8"/>
  <c r="N16" i="8"/>
  <c r="P16" i="8"/>
  <c r="R16" i="8"/>
  <c r="R21" i="8"/>
  <c r="N21" i="8"/>
  <c r="P21" i="8"/>
  <c r="N20" i="8"/>
  <c r="P20" i="8"/>
  <c r="R20" i="8"/>
  <c r="N24" i="8"/>
  <c r="P24" i="8"/>
  <c r="R24" i="8"/>
  <c r="N7" i="8"/>
  <c r="P7" i="8"/>
  <c r="R7" i="8"/>
  <c r="N13" i="8"/>
  <c r="P13" i="8"/>
  <c r="R13" i="8"/>
  <c r="N6" i="8"/>
  <c r="P6" i="8"/>
  <c r="R6" i="8"/>
  <c r="N17" i="8"/>
  <c r="P17" i="8"/>
  <c r="R17" i="8"/>
  <c r="N23" i="8"/>
  <c r="P23" i="8"/>
  <c r="R23" i="8"/>
  <c r="N14" i="8"/>
  <c r="P14" i="8"/>
  <c r="R14" i="8"/>
  <c r="N10" i="8"/>
  <c r="P10" i="8"/>
  <c r="R10" i="8"/>
  <c r="N22" i="8"/>
  <c r="P22" i="8"/>
  <c r="R22" i="8"/>
  <c r="N19" i="8"/>
  <c r="P19" i="8"/>
  <c r="R19" i="8"/>
  <c r="P18" i="8"/>
  <c r="R18" i="8"/>
  <c r="N18" i="8"/>
  <c r="N8" i="8"/>
  <c r="P8" i="8"/>
  <c r="R8" i="8"/>
  <c r="N26" i="8" l="1"/>
  <c r="L31" i="8" s="1"/>
  <c r="M31" i="8" s="1"/>
  <c r="N31" i="8" s="1"/>
  <c r="P26" i="8"/>
  <c r="L32" i="8" s="1"/>
  <c r="M32" i="8" s="1"/>
  <c r="N32" i="8" s="1"/>
  <c r="R26" i="8"/>
  <c r="L33" i="8" s="1"/>
  <c r="M33" i="8" s="1"/>
  <c r="N33" i="8" s="1"/>
</calcChain>
</file>

<file path=xl/sharedStrings.xml><?xml version="1.0" encoding="utf-8"?>
<sst xmlns="http://schemas.openxmlformats.org/spreadsheetml/2006/main" count="437" uniqueCount="144">
  <si>
    <t>HASIL AKHIR PERANGKINGAN — METODE SWARA + MAIRCA</t>
  </si>
  <si>
    <t>Catatan: Nilai Qi terkecil = alternatif terbaik (Semakin kecil Qi, semakin direkomendasikan)</t>
  </si>
  <si>
    <t>No</t>
  </si>
  <si>
    <t>Alternatif</t>
  </si>
  <si>
    <t>Nilai Qi</t>
  </si>
  <si>
    <t>Rank</t>
  </si>
  <si>
    <t>Keterangan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</si>
  <si>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</si>
  <si>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</si>
  <si>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</si>
  <si>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</si>
  <si>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</si>
  <si>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</si>
  <si>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</si>
  <si>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</si>
  <si>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</si>
  <si>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</si>
  <si>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</si>
  <si>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</si>
  <si>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</si>
  <si>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</si>
  <si>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</si>
  <si>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</si>
  <si>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</si>
  <si>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</si>
  <si>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</si>
  <si>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</si>
  <si>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BOBOT KRITERIA (SWARA) – REKAP AKHIR</t>
  </si>
  <si>
    <t>Kode</t>
  </si>
  <si>
    <t>Nama Kriteria</t>
  </si>
  <si>
    <t>Tipe</t>
  </si>
  <si>
    <t>Bobot Wj</t>
  </si>
  <si>
    <t>1</t>
  </si>
  <si>
    <t>K1</t>
  </si>
  <si>
    <t>Hasil Proses Wawancara</t>
  </si>
  <si>
    <t>Benefit</t>
  </si>
  <si>
    <t>2</t>
  </si>
  <si>
    <t>K2</t>
  </si>
  <si>
    <t>Indeks Prestasi Kumulatif</t>
  </si>
  <si>
    <t>3</t>
  </si>
  <si>
    <t>K3</t>
  </si>
  <si>
    <t>Status Kepemilikan KIP</t>
  </si>
  <si>
    <t>4</t>
  </si>
  <si>
    <t>K4</t>
  </si>
  <si>
    <t>Status Kepemilikan KKS</t>
  </si>
  <si>
    <t>5</t>
  </si>
  <si>
    <t>K5</t>
  </si>
  <si>
    <t>Penghasilan Orang Tua (Ayah)</t>
  </si>
  <si>
    <t>Cost</t>
  </si>
  <si>
    <t>6</t>
  </si>
  <si>
    <t>K6</t>
  </si>
  <si>
    <t>Penghasilan Orang Tua (Ibu)</t>
  </si>
  <si>
    <t>7</t>
  </si>
  <si>
    <t>K7</t>
  </si>
  <si>
    <t>Status Kepemilikan Rumah</t>
  </si>
  <si>
    <t>8</t>
  </si>
  <si>
    <t>K8</t>
  </si>
  <si>
    <t>Besaran Daya Listrik</t>
  </si>
  <si>
    <t>9</t>
  </si>
  <si>
    <t>K9</t>
  </si>
  <si>
    <t>Besaran Luas Tanah</t>
  </si>
  <si>
    <t>10</t>
  </si>
  <si>
    <t>K10</t>
  </si>
  <si>
    <t>Jenis Sumber Air</t>
  </si>
  <si>
    <t>MATRIKS DATA KEPUTUSAN — SELEKSI BEASISWA LAZIZMU</t>
  </si>
  <si>
    <t>Keterangan Kriteria</t>
  </si>
  <si>
    <t>Tipe Kriteria</t>
  </si>
  <si>
    <t>Hasil Wawancara</t>
  </si>
  <si>
    <t>IPK</t>
  </si>
  <si>
    <t>Kepemilikan KIP</t>
  </si>
  <si>
    <t>Kepemilikan KKS</t>
  </si>
  <si>
    <t>Penghasilan Ayah</t>
  </si>
  <si>
    <t>Penghasilan Ibu</t>
  </si>
  <si>
    <t>Status Rumah</t>
  </si>
  <si>
    <t>Daya Listrik</t>
  </si>
  <si>
    <t>Luas Tanah</t>
  </si>
  <si>
    <t>Sumber Air</t>
  </si>
  <si>
    <t>MATRIKS KEPUTUSAN (Nilai Atribut tiap Alternatif)</t>
  </si>
  <si>
    <t>Nilai MAX</t>
  </si>
  <si>
    <t>Nilai MIN</t>
  </si>
  <si>
    <t>PEMBOBOTAN KRITERIA — METODE SWARA (Step-wise Weight Assessment Ratio Analysis)</t>
  </si>
  <si>
    <t>Kj = Sj + 1  |  Qj = Qj-1 / Kj (Q1 = 1)  |  Wj = Qj / ΣQj</t>
  </si>
  <si>
    <t>Prioritas</t>
  </si>
  <si>
    <t>Sj (input)</t>
  </si>
  <si>
    <t>Kj = Sj+1</t>
  </si>
  <si>
    <t>Qj</t>
  </si>
  <si>
    <t>Wj (Bobot)</t>
  </si>
  <si>
    <t>TOTAL</t>
  </si>
  <si>
    <t>REKAP BOBOT SWARA — Urutan Kriteria K1 s/d K10</t>
  </si>
  <si>
    <t>NORMALISASI MATRIKS KEPUTUSAN — MAIRCA</t>
  </si>
  <si>
    <t>Benefit: x̄ij = (xij − min) / (max − min)   |   Cost: x̄ij = (max − xij) / (max − min)</t>
  </si>
  <si>
    <t>Nilai MAX (ref.Data)</t>
  </si>
  <si>
    <t>Nilai MIN (ref.Data)</t>
  </si>
  <si>
    <t>PREFERENSI TEORITIS (TPij) — MAIRCA</t>
  </si>
  <si>
    <t>Rumus: TPij = Wj / m  (m = jumlah alternatif = 15)</t>
  </si>
  <si>
    <t>Bobot Wj (ref. SWARA)</t>
  </si>
  <si>
    <t>PREFERENSI NYATA (PPij) — MAIRCA</t>
  </si>
  <si>
    <t>Rumus: PPij = TPij × x̄ij  (TPij dari sheet Pref.Teoritis, x̄ij dari sheet Normalisasi)</t>
  </si>
  <si>
    <t>MATRIKS GAP (Gij) DAN NILAI Qi — MAIRCA</t>
  </si>
  <si>
    <t>Rumus Gap: Gij = TPij − PPij   |   Rumus Qi: Qi = Σ Gij (semakin kecil Qi = semakin baik)</t>
  </si>
  <si>
    <t>Qi (Σ Gap)</t>
  </si>
  <si>
    <t>ANALISIS PERBANDINGAN METODE DAN UJI SENSITIVITAS</t>
  </si>
  <si>
    <t>Berdasarkan Data Seleksi Beasiswa Lazizmu (20 Alternatif)</t>
  </si>
  <si>
    <t>Tabel 1. Perbandingan Nilai dan Peringkat SAW, WP, TOPSIS, dan SWARA-MAIRCA</t>
  </si>
  <si>
    <t>Tabel 2. Perhitungan Korelasi Spearman</t>
  </si>
  <si>
    <t>SAW V</t>
  </si>
  <si>
    <t>Rank SAW</t>
  </si>
  <si>
    <t>WP V</t>
  </si>
  <si>
    <t>Rank WP</t>
  </si>
  <si>
    <t>TOPSIS V</t>
  </si>
  <si>
    <t>Rank TOPSIS</t>
  </si>
  <si>
    <t>MAIRCA Qi</t>
  </si>
  <si>
    <t>Rank MAIRCA</t>
  </si>
  <si>
    <t>Alt</t>
  </si>
  <si>
    <t>Rank R1
(MAIRCA)</t>
  </si>
  <si>
    <t>Rank R2
(SAW)</t>
  </si>
  <si>
    <t>d² (SAW)</t>
  </si>
  <si>
    <t>Rank R3
(WP)</t>
  </si>
  <si>
    <t>d² (WP)</t>
  </si>
  <si>
    <t>Rank R4
(TOPSIS)</t>
  </si>
  <si>
    <t>d² (TOPSIS)</t>
  </si>
  <si>
    <t>TOTAL Σ</t>
  </si>
  <si>
    <t>*Alternatif A03 menempati Peringkat 1 di seluruh metode pembanding utama (SAW, WP, TOPSIS, dan SWARA-MAIRCA)</t>
  </si>
  <si>
    <t>Tabel 4. Analisis Sensitivitas (Variasi Bobot KIP - K3)</t>
  </si>
  <si>
    <t>Tabel 3. Koefisien Korelasi Spearman (rs)</t>
  </si>
  <si>
    <t>Variasi K3</t>
  </si>
  <si>
    <t>Bobot Baru K3</t>
  </si>
  <si>
    <t>Rank 1 Alt.</t>
  </si>
  <si>
    <t>Rank Changes</t>
  </si>
  <si>
    <t>% Changes</t>
  </si>
  <si>
    <t>Metode Pembanding</t>
  </si>
  <si>
    <t>Σ d²</t>
  </si>
  <si>
    <t>Koefisien rs</t>
  </si>
  <si>
    <t>Tingkat Hubungan</t>
  </si>
  <si>
    <t>-20%</t>
  </si>
  <si>
    <t>10.0%</t>
  </si>
  <si>
    <t>SWARA-MAIRCA vs SAW</t>
  </si>
  <si>
    <t>-10%</t>
  </si>
  <si>
    <t>SWARA-MAIRCA vs WP</t>
  </si>
  <si>
    <t>Base (0%)</t>
  </si>
  <si>
    <t>0.0%</t>
  </si>
  <si>
    <t>SWARA-MAIRCA vs TOPSIS</t>
  </si>
  <si>
    <t>+10%</t>
  </si>
  <si>
    <t>+20%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</si>
</sst>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00"/>
    <numFmt numFmtId="166" formatCode="0.000"/>
    <numFmt numFmtId="167" formatCode="0.000000"/>
  </numFmts>
  <fonts count="1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i/>
      <sz val="10"/>
      <color rgb="FF000000"/>
      <name val="Arial"/>
      <charset val="1"/>
    </font>
    <font>
      <b/>
      <sz val="11"/>
      <color rgb="FFFFFFFF"/>
      <name val="Arial"/>
    </font>
    <font>
      <i/>
      <sz val="10"/>
      <color rgb="FF000000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i/>
      <sz val="9"/>
      <color rgb="FF000000"/>
      <name val="Arial"/>
    </font>
    <font>
      <b/>
      <sz val="10"/>
      <color rgb="FF006600"/>
      <name val="Arial"/>
    </font>
    <font>
      <b/>
      <sz val="10"/>
      <color rgb="FF990000"/>
      <name val="Arial"/>
    </font>
    <font>
      <i/>
      <sz val="9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737373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C0C0C0"/>
      </patternFill>
    </fill>
    <fill>
      <patternFill patternType="solid">
        <fgColor rgb="FF404040"/>
        <bgColor rgb="FF404040"/>
      </patternFill>
    </fill>
    <fill>
      <patternFill patternType="solid">
        <fgColor rgb="FF737373"/>
        <bgColor rgb="FF737373"/>
      </patternFill>
    </fill>
    <fill>
      <patternFill patternType="solid">
        <fgColor rgb="FFF2F2F2"/>
        <bgColor rgb="FFF2F2F2"/>
      </patternFill>
    </fill>
    <fill>
      <patternFill patternType="solid">
        <fgColor rgb="FFE6E6E6"/>
        <bgColor rgb="FFE6E6E6"/>
      </patternFill>
    </fill>
    <fill>
      <patternFill patternType="solid">
        <fgColor rgb="FF8A5E32"/>
        <bgColor rgb="FF8A5E32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2" fontId="3" fillId="5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9" fillId="8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166" fontId="10" fillId="0" borderId="4" xfId="0" applyNumberFormat="1" applyFont="1" applyBorder="1" applyAlignment="1">
      <alignment horizontal="right" vertical="center"/>
    </xf>
    <xf numFmtId="167" fontId="10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10" fillId="9" borderId="4" xfId="0" applyFont="1" applyFill="1" applyBorder="1" applyAlignment="1">
      <alignment horizontal="center" vertical="center"/>
    </xf>
    <xf numFmtId="2" fontId="10" fillId="9" borderId="4" xfId="0" applyNumberFormat="1" applyFont="1" applyFill="1" applyBorder="1" applyAlignment="1">
      <alignment horizontal="right" vertical="center"/>
    </xf>
    <xf numFmtId="0" fontId="8" fillId="9" borderId="4" xfId="0" applyFont="1" applyFill="1" applyBorder="1" applyAlignment="1">
      <alignment horizontal="center" vertical="center"/>
    </xf>
    <xf numFmtId="166" fontId="10" fillId="9" borderId="4" xfId="0" applyNumberFormat="1" applyFont="1" applyFill="1" applyBorder="1" applyAlignment="1">
      <alignment horizontal="right" vertical="center"/>
    </xf>
    <xf numFmtId="167" fontId="10" fillId="9" borderId="4" xfId="0" applyNumberFormat="1" applyFont="1" applyFill="1" applyBorder="1" applyAlignment="1">
      <alignment horizontal="right" vertical="center"/>
    </xf>
    <xf numFmtId="0" fontId="10" fillId="9" borderId="4" xfId="0" applyFont="1" applyFill="1" applyBorder="1" applyAlignment="1">
      <alignment horizontal="right" vertical="center"/>
    </xf>
    <xf numFmtId="0" fontId="0" fillId="0" borderId="4" xfId="0" applyBorder="1"/>
    <xf numFmtId="0" fontId="8" fillId="0" borderId="4" xfId="0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/>
    </xf>
    <xf numFmtId="167" fontId="8" fillId="0" borderId="4" xfId="0" applyNumberFormat="1" applyFont="1" applyBorder="1" applyAlignment="1">
      <alignment horizontal="right" vertical="center"/>
    </xf>
    <xf numFmtId="164" fontId="10" fillId="9" borderId="4" xfId="0" applyNumberFormat="1" applyFont="1" applyFill="1" applyBorder="1" applyAlignment="1">
      <alignment horizontal="right" vertical="center"/>
    </xf>
    <xf numFmtId="0" fontId="8" fillId="10" borderId="4" xfId="0" applyFont="1" applyFill="1" applyBorder="1" applyAlignment="1">
      <alignment horizontal="center" vertical="center"/>
    </xf>
    <xf numFmtId="164" fontId="8" fillId="10" borderId="4" xfId="0" applyNumberFormat="1" applyFont="1" applyFill="1" applyBorder="1" applyAlignment="1">
      <alignment horizontal="right" vertical="center"/>
    </xf>
    <xf numFmtId="0" fontId="8" fillId="10" borderId="4" xfId="0" applyFont="1" applyFill="1" applyBorder="1" applyAlignment="1">
      <alignment horizontal="right" vertical="center"/>
    </xf>
    <xf numFmtId="0" fontId="9" fillId="11" borderId="4" xfId="0" applyFont="1" applyFill="1" applyBorder="1" applyAlignment="1">
      <alignment horizontal="center" vertical="center" wrapText="1"/>
    </xf>
    <xf numFmtId="0" fontId="12" fillId="12" borderId="4" xfId="0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center" vertical="center" wrapText="1"/>
    </xf>
    <xf numFmtId="0" fontId="14" fillId="12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164" fontId="3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0" fillId="0" borderId="0" xfId="0"/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37373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showGridLines="0" topLeftCell="A7" zoomScaleNormal="100" workbookViewId="0">
      <selection activeCell="D30" sqref="D30"/>
    </sheetView>
  </sheetViews>
  <sheetFormatPr defaultColWidth="8.6640625" defaultRowHeight="14.4" x14ac:dyDescent="0.3"/>
  <cols>
    <col min="1" max="1" width="13" customWidth="1"/>
    <col min="2" max="2" width="30" customWidth="1"/>
    <col min="3" max="3" width="10" customWidth="1"/>
    <col min="4" max="14" width="11" customWidth="1"/>
  </cols>
  <sheetData>
    <row r="1" spans="1:14" ht="15" customHeight="1" x14ac:dyDescent="0.3">
      <c r="A1" s="59" t="s">
        <v>64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8"/>
    </row>
    <row r="2" spans="1:14" ht="15" customHeight="1" x14ac:dyDescent="0.3">
      <c r="A2" s="62" t="s">
        <v>65</v>
      </c>
      <c r="B2" s="57"/>
      <c r="C2" s="58"/>
      <c r="D2" s="48" t="s">
        <v>33</v>
      </c>
      <c r="E2" s="48" t="s">
        <v>37</v>
      </c>
      <c r="F2" s="48" t="s">
        <v>40</v>
      </c>
      <c r="G2" s="48" t="s">
        <v>43</v>
      </c>
      <c r="H2" s="48" t="s">
        <v>46</v>
      </c>
      <c r="I2" s="48" t="s">
        <v>50</v>
      </c>
      <c r="J2" s="48" t="s">
        <v>53</v>
      </c>
      <c r="K2" s="48" t="s">
        <v>56</v>
      </c>
      <c r="L2" s="48" t="s">
        <v>59</v>
      </c>
      <c r="M2" s="48" t="s">
        <v>62</v>
      </c>
    </row>
    <row r="3" spans="1:14" ht="15" customHeight="1" x14ac:dyDescent="0.3">
      <c r="A3" s="62" t="s">
        <v>66</v>
      </c>
      <c r="B3" s="57"/>
      <c r="C3" s="58"/>
      <c r="D3" s="49" t="s">
        <v>35</v>
      </c>
      <c r="E3" s="49" t="s">
        <v>35</v>
      </c>
      <c r="F3" s="49" t="s">
        <v>35</v>
      </c>
      <c r="G3" s="49" t="s">
        <v>35</v>
      </c>
      <c r="H3" s="50" t="s">
        <v>48</v>
      </c>
      <c r="I3" s="50" t="s">
        <v>48</v>
      </c>
      <c r="J3" s="50" t="s">
        <v>48</v>
      </c>
      <c r="K3" s="50" t="s">
        <v>48</v>
      </c>
      <c r="L3" s="50" t="s">
        <v>48</v>
      </c>
      <c r="M3" s="50" t="s">
        <v>48</v>
      </c>
    </row>
    <row r="4" spans="1:14" ht="32.4" customHeight="1" x14ac:dyDescent="0.3">
      <c r="A4" s="60" t="s">
        <v>29</v>
      </c>
      <c r="B4" s="57"/>
      <c r="C4" s="58"/>
      <c r="D4" s="51" t="s">
        <v>67</v>
      </c>
      <c r="E4" s="51" t="s">
        <v>68</v>
      </c>
      <c r="F4" s="51" t="s">
        <v>69</v>
      </c>
      <c r="G4" s="51" t="s">
        <v>70</v>
      </c>
      <c r="H4" s="51" t="s">
        <v>71</v>
      </c>
      <c r="I4" s="51" t="s">
        <v>72</v>
      </c>
      <c r="J4" s="51" t="s">
        <v>73</v>
      </c>
      <c r="K4" s="51" t="s">
        <v>74</v>
      </c>
      <c r="L4" s="51" t="s">
        <v>75</v>
      </c>
      <c r="M4" s="51" t="s">
        <v>76</v>
      </c>
    </row>
    <row r="5" spans="1:14" ht="15" customHeight="1" x14ac:dyDescent="0.3"/>
    <row r="6" spans="1:14" ht="15" customHeight="1" x14ac:dyDescent="0.3"/>
    <row r="7" spans="1:14" ht="15" customHeight="1" x14ac:dyDescent="0.3">
      <c r="A7" s="61" t="s">
        <v>77</v>
      </c>
      <c r="B7" s="57"/>
      <c r="C7" s="57"/>
      <c r="D7" s="57"/>
      <c r="E7" s="57"/>
      <c r="F7" s="57"/>
      <c r="G7" s="57"/>
      <c r="H7" s="57"/>
      <c r="I7" s="57"/>
      <c r="J7" s="57"/>
      <c r="K7" s="57"/>
    </row>
    <row r="8" spans="1:14" ht="15" customHeight="1" x14ac:dyDescent="0.3">
      <c r="A8" s="1" t="s">
        <v>3</v>
      </c>
      <c r="B8" s="1" t="s">
        <v>33</v>
      </c>
      <c r="C8" s="1" t="s">
        <v>37</v>
      </c>
      <c r="D8" s="1" t="s">
        <v>40</v>
      </c>
      <c r="E8" s="1" t="s">
        <v>43</v>
      </c>
      <c r="F8" s="1" t="s">
        <v>46</v>
      </c>
      <c r="G8" s="1" t="s">
        <v>50</v>
      </c>
      <c r="H8" s="1" t="s">
        <v>53</v>
      </c>
      <c r="I8" s="1" t="s">
        <v>56</v>
      </c>
      <c r="J8" s="1" t="s">
        <v>59</v>
      </c>
      <c r="K8" s="1" t="s">
        <v>62</v>
      </c>
    </row>
    <row r="9" spans="1:14" ht="15" customHeight="1" x14ac:dyDescent="0.3">
      <c r="A9" s="4" t="s">
        <v>7</v>
      </c>
      <c r="B9" s="8">
        <v>4</v>
      </c>
      <c r="C9" s="8">
        <v>3</v>
      </c>
      <c r="D9" s="8">
        <v>5</v>
      </c>
      <c r="E9" s="8">
        <v>5</v>
      </c>
      <c r="F9" s="8">
        <v>1</v>
      </c>
      <c r="G9" s="8">
        <v>1</v>
      </c>
      <c r="H9" s="8">
        <v>4</v>
      </c>
      <c r="I9" s="8">
        <v>1</v>
      </c>
      <c r="J9" s="8">
        <v>4</v>
      </c>
      <c r="K9" s="8">
        <v>2</v>
      </c>
    </row>
    <row r="10" spans="1:14" ht="15" customHeight="1" x14ac:dyDescent="0.3">
      <c r="A10" s="7" t="s">
        <v>8</v>
      </c>
      <c r="B10" s="9">
        <v>4</v>
      </c>
      <c r="C10" s="9">
        <v>3</v>
      </c>
      <c r="D10" s="9">
        <v>1</v>
      </c>
      <c r="E10" s="9">
        <v>1</v>
      </c>
      <c r="F10" s="9">
        <v>3</v>
      </c>
      <c r="G10" s="9">
        <v>1</v>
      </c>
      <c r="H10" s="9">
        <v>1</v>
      </c>
      <c r="I10" s="9">
        <v>1</v>
      </c>
      <c r="J10" s="9">
        <v>1</v>
      </c>
      <c r="K10" s="9">
        <v>2</v>
      </c>
    </row>
    <row r="11" spans="1:14" ht="15" customHeight="1" x14ac:dyDescent="0.3">
      <c r="A11" s="4" t="s">
        <v>9</v>
      </c>
      <c r="B11" s="8">
        <v>4</v>
      </c>
      <c r="C11" s="8">
        <v>4</v>
      </c>
      <c r="D11" s="8">
        <v>5</v>
      </c>
      <c r="E11" s="8">
        <v>5</v>
      </c>
      <c r="F11" s="8">
        <v>3</v>
      </c>
      <c r="G11" s="8">
        <v>1</v>
      </c>
      <c r="H11" s="8">
        <v>1</v>
      </c>
      <c r="I11" s="8">
        <v>1</v>
      </c>
      <c r="J11" s="8">
        <v>4</v>
      </c>
      <c r="K11" s="8">
        <v>1</v>
      </c>
    </row>
    <row r="12" spans="1:14" ht="15" customHeight="1" x14ac:dyDescent="0.3">
      <c r="A12" s="7" t="s">
        <v>10</v>
      </c>
      <c r="B12" s="9">
        <v>4</v>
      </c>
      <c r="C12" s="9">
        <v>2</v>
      </c>
      <c r="D12" s="9">
        <v>1</v>
      </c>
      <c r="E12" s="9">
        <v>1</v>
      </c>
      <c r="F12" s="9">
        <v>2</v>
      </c>
      <c r="G12" s="9">
        <v>1</v>
      </c>
      <c r="H12" s="9">
        <v>4</v>
      </c>
      <c r="I12" s="9">
        <v>1</v>
      </c>
      <c r="J12" s="9">
        <v>4</v>
      </c>
      <c r="K12" s="9">
        <v>2</v>
      </c>
    </row>
    <row r="13" spans="1:14" ht="15" customHeight="1" x14ac:dyDescent="0.3">
      <c r="A13" s="4" t="s">
        <v>11</v>
      </c>
      <c r="B13" s="8">
        <v>4</v>
      </c>
      <c r="C13" s="8">
        <v>3</v>
      </c>
      <c r="D13" s="8">
        <v>5</v>
      </c>
      <c r="E13" s="8">
        <v>5</v>
      </c>
      <c r="F13" s="8">
        <v>3</v>
      </c>
      <c r="G13" s="8">
        <v>2</v>
      </c>
      <c r="H13" s="8">
        <v>4</v>
      </c>
      <c r="I13" s="8">
        <v>1</v>
      </c>
      <c r="J13" s="8">
        <v>1</v>
      </c>
      <c r="K13" s="8">
        <v>2</v>
      </c>
    </row>
    <row r="14" spans="1:14" ht="15" customHeight="1" x14ac:dyDescent="0.3">
      <c r="A14" s="7" t="s">
        <v>12</v>
      </c>
      <c r="B14" s="9">
        <v>4</v>
      </c>
      <c r="C14" s="9">
        <v>4</v>
      </c>
      <c r="D14" s="9">
        <v>1</v>
      </c>
      <c r="E14" s="9">
        <v>1</v>
      </c>
      <c r="F14" s="9">
        <v>5</v>
      </c>
      <c r="G14" s="9">
        <v>1</v>
      </c>
      <c r="H14" s="9">
        <v>4</v>
      </c>
      <c r="I14" s="9">
        <v>1</v>
      </c>
      <c r="J14" s="9">
        <v>4</v>
      </c>
      <c r="K14" s="9">
        <v>2</v>
      </c>
    </row>
    <row r="15" spans="1:14" x14ac:dyDescent="0.3">
      <c r="A15" s="4" t="s">
        <v>13</v>
      </c>
      <c r="B15" s="8">
        <v>4</v>
      </c>
      <c r="C15" s="8">
        <v>3</v>
      </c>
      <c r="D15" s="8">
        <v>1</v>
      </c>
      <c r="E15" s="8">
        <v>1</v>
      </c>
      <c r="F15" s="8">
        <v>1</v>
      </c>
      <c r="G15" s="8">
        <v>1</v>
      </c>
      <c r="H15" s="8">
        <v>4</v>
      </c>
      <c r="I15" s="8">
        <v>1</v>
      </c>
      <c r="J15" s="8">
        <v>2</v>
      </c>
      <c r="K15" s="8">
        <v>2</v>
      </c>
    </row>
    <row r="16" spans="1:14" ht="15" customHeight="1" x14ac:dyDescent="0.3">
      <c r="A16" s="7" t="s">
        <v>14</v>
      </c>
      <c r="B16" s="9">
        <v>3</v>
      </c>
      <c r="C16" s="9">
        <v>3</v>
      </c>
      <c r="D16" s="9">
        <v>5</v>
      </c>
      <c r="E16" s="9">
        <v>5</v>
      </c>
      <c r="F16" s="9">
        <v>5</v>
      </c>
      <c r="G16" s="9">
        <v>1</v>
      </c>
      <c r="H16" s="9">
        <v>3</v>
      </c>
      <c r="I16" s="9">
        <v>1</v>
      </c>
      <c r="J16" s="9">
        <v>3</v>
      </c>
      <c r="K16" s="9">
        <v>3</v>
      </c>
    </row>
    <row r="17" spans="1:11" ht="15" customHeight="1" x14ac:dyDescent="0.3">
      <c r="A17" s="4" t="s">
        <v>15</v>
      </c>
      <c r="B17" s="8">
        <v>4</v>
      </c>
      <c r="C17" s="8">
        <v>3</v>
      </c>
      <c r="D17" s="8">
        <v>1</v>
      </c>
      <c r="E17" s="8">
        <v>5</v>
      </c>
      <c r="F17" s="8">
        <v>3</v>
      </c>
      <c r="G17" s="8">
        <v>1</v>
      </c>
      <c r="H17" s="8">
        <v>4</v>
      </c>
      <c r="I17" s="8">
        <v>1</v>
      </c>
      <c r="J17" s="8">
        <v>4</v>
      </c>
      <c r="K17" s="8">
        <v>2</v>
      </c>
    </row>
    <row r="18" spans="1:11" ht="15" customHeight="1" x14ac:dyDescent="0.3">
      <c r="A18" s="7" t="s">
        <v>16</v>
      </c>
      <c r="B18" s="9">
        <v>4</v>
      </c>
      <c r="C18" s="9">
        <v>3</v>
      </c>
      <c r="D18" s="9">
        <v>1</v>
      </c>
      <c r="E18" s="9">
        <v>1</v>
      </c>
      <c r="F18" s="9">
        <v>2</v>
      </c>
      <c r="G18" s="9">
        <v>1</v>
      </c>
      <c r="H18" s="9">
        <v>1</v>
      </c>
      <c r="I18" s="9">
        <v>1</v>
      </c>
      <c r="J18" s="9">
        <v>4</v>
      </c>
      <c r="K18" s="9">
        <v>2</v>
      </c>
    </row>
    <row r="19" spans="1:11" ht="15" customHeight="1" x14ac:dyDescent="0.3">
      <c r="A19" s="4" t="s">
        <v>17</v>
      </c>
      <c r="B19" s="8">
        <v>4</v>
      </c>
      <c r="C19" s="8">
        <v>2</v>
      </c>
      <c r="D19" s="8">
        <v>1</v>
      </c>
      <c r="E19" s="8">
        <v>1</v>
      </c>
      <c r="F19" s="8">
        <v>2</v>
      </c>
      <c r="G19" s="8">
        <v>1</v>
      </c>
      <c r="H19" s="8">
        <v>4</v>
      </c>
      <c r="I19" s="8">
        <v>1</v>
      </c>
      <c r="J19" s="8">
        <v>1</v>
      </c>
      <c r="K19" s="8">
        <v>2</v>
      </c>
    </row>
    <row r="20" spans="1:11" ht="15" customHeight="1" x14ac:dyDescent="0.3">
      <c r="A20" s="7" t="s">
        <v>18</v>
      </c>
      <c r="B20" s="9">
        <v>4</v>
      </c>
      <c r="C20" s="9">
        <v>2</v>
      </c>
      <c r="D20" s="9">
        <v>5</v>
      </c>
      <c r="E20" s="9">
        <v>5</v>
      </c>
      <c r="F20" s="9">
        <v>3</v>
      </c>
      <c r="G20" s="9">
        <v>3</v>
      </c>
      <c r="H20" s="9">
        <v>4</v>
      </c>
      <c r="I20" s="9">
        <v>1</v>
      </c>
      <c r="J20" s="9">
        <v>1</v>
      </c>
      <c r="K20" s="9">
        <v>2</v>
      </c>
    </row>
    <row r="21" spans="1:11" ht="15" customHeight="1" x14ac:dyDescent="0.3">
      <c r="A21" s="4" t="s">
        <v>19</v>
      </c>
      <c r="B21" s="8">
        <v>4</v>
      </c>
      <c r="C21" s="8">
        <v>2</v>
      </c>
      <c r="D21" s="8">
        <v>1</v>
      </c>
      <c r="E21" s="8">
        <v>1</v>
      </c>
      <c r="F21" s="8">
        <v>3</v>
      </c>
      <c r="G21" s="8">
        <v>1</v>
      </c>
      <c r="H21" s="8">
        <v>4</v>
      </c>
      <c r="I21" s="8">
        <v>1</v>
      </c>
      <c r="J21" s="8">
        <v>3</v>
      </c>
      <c r="K21" s="8">
        <v>2</v>
      </c>
    </row>
    <row r="22" spans="1:11" ht="15" customHeight="1" x14ac:dyDescent="0.3">
      <c r="A22" s="7" t="s">
        <v>20</v>
      </c>
      <c r="B22" s="9">
        <v>4</v>
      </c>
      <c r="C22" s="9">
        <v>5</v>
      </c>
      <c r="D22" s="9">
        <v>5</v>
      </c>
      <c r="E22" s="9">
        <v>5</v>
      </c>
      <c r="F22" s="9">
        <v>1</v>
      </c>
      <c r="G22" s="9">
        <v>2</v>
      </c>
      <c r="H22" s="9">
        <v>4</v>
      </c>
      <c r="I22" s="9">
        <v>1</v>
      </c>
      <c r="J22" s="9">
        <v>5</v>
      </c>
      <c r="K22" s="9">
        <v>2</v>
      </c>
    </row>
    <row r="23" spans="1:11" ht="15" customHeight="1" x14ac:dyDescent="0.3">
      <c r="A23" s="4" t="s">
        <v>21</v>
      </c>
      <c r="B23" s="8">
        <v>4</v>
      </c>
      <c r="C23" s="8">
        <v>3</v>
      </c>
      <c r="D23" s="8">
        <v>1</v>
      </c>
      <c r="E23" s="8">
        <v>1</v>
      </c>
      <c r="F23" s="8">
        <v>3</v>
      </c>
      <c r="G23" s="8">
        <v>3</v>
      </c>
      <c r="H23" s="8">
        <v>4</v>
      </c>
      <c r="I23" s="8">
        <v>1</v>
      </c>
      <c r="J23" s="8">
        <v>3</v>
      </c>
      <c r="K23" s="8">
        <v>2</v>
      </c>
    </row>
    <row r="24" spans="1:11" ht="15" customHeight="1" x14ac:dyDescent="0.3">
      <c r="A24" s="7" t="s">
        <v>22</v>
      </c>
      <c r="B24" s="9">
        <v>4</v>
      </c>
      <c r="C24" s="9">
        <v>4</v>
      </c>
      <c r="D24" s="9">
        <v>1</v>
      </c>
      <c r="E24" s="9">
        <v>1</v>
      </c>
      <c r="F24" s="9">
        <v>5</v>
      </c>
      <c r="G24" s="9">
        <v>1</v>
      </c>
      <c r="H24" s="9">
        <v>1</v>
      </c>
      <c r="I24" s="9">
        <v>1</v>
      </c>
      <c r="J24" s="9">
        <v>3</v>
      </c>
      <c r="K24" s="9">
        <v>3</v>
      </c>
    </row>
    <row r="25" spans="1:11" ht="15" customHeight="1" x14ac:dyDescent="0.3">
      <c r="A25" s="4" t="s">
        <v>23</v>
      </c>
      <c r="B25" s="8">
        <v>4</v>
      </c>
      <c r="C25" s="8">
        <v>5</v>
      </c>
      <c r="D25" s="8">
        <v>1</v>
      </c>
      <c r="E25" s="8">
        <v>1</v>
      </c>
      <c r="F25" s="8">
        <v>1</v>
      </c>
      <c r="G25" s="8">
        <v>3</v>
      </c>
      <c r="H25" s="8">
        <v>4</v>
      </c>
      <c r="I25" s="8">
        <v>2</v>
      </c>
      <c r="J25" s="8">
        <v>3</v>
      </c>
      <c r="K25" s="8">
        <v>2</v>
      </c>
    </row>
    <row r="26" spans="1:11" ht="15" customHeight="1" x14ac:dyDescent="0.3">
      <c r="A26" s="7" t="s">
        <v>24</v>
      </c>
      <c r="B26" s="9">
        <v>4</v>
      </c>
      <c r="C26" s="9">
        <v>4</v>
      </c>
      <c r="D26" s="9">
        <v>1</v>
      </c>
      <c r="E26" s="9">
        <v>1</v>
      </c>
      <c r="F26" s="9">
        <v>3</v>
      </c>
      <c r="G26" s="9">
        <v>1</v>
      </c>
      <c r="H26" s="9">
        <v>4</v>
      </c>
      <c r="I26" s="9">
        <v>2</v>
      </c>
      <c r="J26" s="9">
        <v>4</v>
      </c>
      <c r="K26" s="9">
        <v>2</v>
      </c>
    </row>
    <row r="27" spans="1:11" ht="15" customHeight="1" x14ac:dyDescent="0.3">
      <c r="A27" s="4" t="s">
        <v>25</v>
      </c>
      <c r="B27" s="8">
        <v>4</v>
      </c>
      <c r="C27" s="8">
        <v>3</v>
      </c>
      <c r="D27" s="8">
        <v>1</v>
      </c>
      <c r="E27" s="8">
        <v>1</v>
      </c>
      <c r="F27" s="8">
        <v>5</v>
      </c>
      <c r="G27" s="8">
        <v>1</v>
      </c>
      <c r="H27" s="8">
        <v>4</v>
      </c>
      <c r="I27" s="8">
        <v>1</v>
      </c>
      <c r="J27" s="8">
        <v>1</v>
      </c>
      <c r="K27" s="8">
        <v>2</v>
      </c>
    </row>
    <row r="28" spans="1:11" ht="15" customHeight="1" x14ac:dyDescent="0.3">
      <c r="A28" s="7" t="s">
        <v>26</v>
      </c>
      <c r="B28" s="9">
        <v>4</v>
      </c>
      <c r="C28" s="9">
        <v>4</v>
      </c>
      <c r="D28" s="9">
        <v>1</v>
      </c>
      <c r="E28" s="9">
        <v>1</v>
      </c>
      <c r="F28" s="9">
        <v>3</v>
      </c>
      <c r="G28" s="9">
        <v>4</v>
      </c>
      <c r="H28" s="9">
        <v>4</v>
      </c>
      <c r="I28" s="9">
        <v>1</v>
      </c>
      <c r="J28" s="9">
        <v>5</v>
      </c>
      <c r="K28" s="9">
        <v>2</v>
      </c>
    </row>
    <row r="29" spans="1:11" ht="15" customHeight="1" x14ac:dyDescent="0.3"/>
    <row r="30" spans="1:11" ht="15" customHeight="1" x14ac:dyDescent="0.3">
      <c r="A30" s="10" t="s">
        <v>78</v>
      </c>
      <c r="B30" s="11">
        <f t="shared" ref="B30:K30" si="0">MAX(B9:B28)</f>
        <v>4</v>
      </c>
      <c r="C30" s="11">
        <f t="shared" si="0"/>
        <v>5</v>
      </c>
      <c r="D30" s="11">
        <f t="shared" si="0"/>
        <v>5</v>
      </c>
      <c r="E30" s="11">
        <f t="shared" si="0"/>
        <v>5</v>
      </c>
      <c r="F30" s="11">
        <f t="shared" si="0"/>
        <v>5</v>
      </c>
      <c r="G30" s="11">
        <f t="shared" si="0"/>
        <v>4</v>
      </c>
      <c r="H30" s="11">
        <f t="shared" si="0"/>
        <v>4</v>
      </c>
      <c r="I30" s="11">
        <f t="shared" si="0"/>
        <v>2</v>
      </c>
      <c r="J30" s="11">
        <f t="shared" si="0"/>
        <v>5</v>
      </c>
      <c r="K30" s="11">
        <f t="shared" si="0"/>
        <v>3</v>
      </c>
    </row>
    <row r="31" spans="1:11" ht="15" customHeight="1" x14ac:dyDescent="0.3">
      <c r="A31" s="10" t="s">
        <v>79</v>
      </c>
      <c r="B31" s="11">
        <f t="shared" ref="B31:K31" si="1">MIN(B9:B28)</f>
        <v>3</v>
      </c>
      <c r="C31" s="11">
        <f t="shared" si="1"/>
        <v>2</v>
      </c>
      <c r="D31" s="11">
        <f t="shared" si="1"/>
        <v>1</v>
      </c>
      <c r="E31" s="11">
        <f t="shared" si="1"/>
        <v>1</v>
      </c>
      <c r="F31" s="11">
        <f t="shared" si="1"/>
        <v>1</v>
      </c>
      <c r="G31" s="11">
        <f t="shared" si="1"/>
        <v>1</v>
      </c>
      <c r="H31" s="11">
        <f t="shared" si="1"/>
        <v>1</v>
      </c>
      <c r="I31" s="11">
        <f t="shared" si="1"/>
        <v>1</v>
      </c>
      <c r="J31" s="11">
        <f t="shared" si="1"/>
        <v>1</v>
      </c>
      <c r="K31" s="11">
        <f t="shared" si="1"/>
        <v>1</v>
      </c>
    </row>
    <row r="32" spans="1:11" ht="15" customHeight="1" x14ac:dyDescent="0.3"/>
    <row r="33" ht="15" customHeight="1" x14ac:dyDescent="0.3"/>
    <row r="35" ht="15" customHeight="1" x14ac:dyDescent="0.3"/>
    <row r="36" ht="15" customHeight="1" x14ac:dyDescent="0.3"/>
  </sheetData>
  <mergeCells count="5">
    <mergeCell ref="A7:K7"/>
    <mergeCell ref="A3:C3"/>
    <mergeCell ref="A4:C4"/>
    <mergeCell ref="A2:C2"/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showGridLines="0" zoomScaleNormal="100" workbookViewId="0">
      <selection activeCell="F6" sqref="F6"/>
    </sheetView>
  </sheetViews>
  <sheetFormatPr defaultColWidth="8.6640625" defaultRowHeight="14.4" x14ac:dyDescent="0.3"/>
  <cols>
    <col min="1" max="1" width="10" customWidth="1"/>
    <col min="2" max="2" width="8" customWidth="1"/>
    <col min="3" max="3" width="32" customWidth="1"/>
    <col min="4" max="7" width="14" customWidth="1"/>
  </cols>
  <sheetData>
    <row r="1" spans="1:7" ht="15" customHeight="1" x14ac:dyDescent="0.3">
      <c r="A1" s="59" t="s">
        <v>80</v>
      </c>
      <c r="B1" s="57"/>
      <c r="C1" s="57"/>
      <c r="D1" s="57"/>
      <c r="E1" s="57"/>
      <c r="F1" s="57"/>
      <c r="G1" s="58"/>
    </row>
    <row r="2" spans="1:7" ht="15" customHeight="1" x14ac:dyDescent="0.3">
      <c r="A2" s="56" t="s">
        <v>81</v>
      </c>
      <c r="B2" s="57"/>
      <c r="C2" s="57"/>
      <c r="D2" s="57"/>
      <c r="E2" s="57"/>
      <c r="F2" s="57"/>
      <c r="G2" s="58"/>
    </row>
    <row r="4" spans="1:7" ht="15" customHeight="1" x14ac:dyDescent="0.3">
      <c r="A4" s="1" t="s">
        <v>82</v>
      </c>
      <c r="B4" s="1" t="s">
        <v>28</v>
      </c>
      <c r="C4" s="1" t="s">
        <v>29</v>
      </c>
      <c r="D4" s="1" t="s">
        <v>83</v>
      </c>
      <c r="E4" s="1" t="s">
        <v>84</v>
      </c>
      <c r="F4" s="1" t="s">
        <v>85</v>
      </c>
      <c r="G4" s="1" t="s">
        <v>86</v>
      </c>
    </row>
    <row r="5" spans="1:7" ht="15" customHeight="1" x14ac:dyDescent="0.3">
      <c r="A5" s="2">
        <v>1</v>
      </c>
      <c r="B5" s="4" t="s">
        <v>40</v>
      </c>
      <c r="C5" s="3" t="s">
        <v>41</v>
      </c>
      <c r="D5" s="12">
        <v>0</v>
      </c>
      <c r="E5" s="13">
        <f t="shared" ref="E5:E14" si="0">D5+1</f>
        <v>1</v>
      </c>
      <c r="F5" s="13">
        <v>1</v>
      </c>
      <c r="G5" s="13">
        <f t="shared" ref="G5:G14" si="1">F5/$F$15</f>
        <v>0.14555541629032387</v>
      </c>
    </row>
    <row r="6" spans="1:7" ht="15" customHeight="1" x14ac:dyDescent="0.3">
      <c r="A6" s="5">
        <v>2</v>
      </c>
      <c r="B6" s="7" t="s">
        <v>43</v>
      </c>
      <c r="C6" s="6" t="s">
        <v>44</v>
      </c>
      <c r="D6" s="14">
        <v>0.05</v>
      </c>
      <c r="E6" s="15">
        <f t="shared" si="0"/>
        <v>1.05</v>
      </c>
      <c r="F6" s="15">
        <f t="shared" ref="F6:F14" si="2">F5/E6</f>
        <v>0.95238095238095233</v>
      </c>
      <c r="G6" s="15">
        <f t="shared" si="1"/>
        <v>0.13862420599078465</v>
      </c>
    </row>
    <row r="7" spans="1:7" ht="15" customHeight="1" x14ac:dyDescent="0.3">
      <c r="A7" s="2">
        <v>3</v>
      </c>
      <c r="B7" s="4" t="s">
        <v>37</v>
      </c>
      <c r="C7" s="3" t="s">
        <v>38</v>
      </c>
      <c r="D7" s="12">
        <v>0.1</v>
      </c>
      <c r="E7" s="13">
        <f t="shared" si="0"/>
        <v>1.1000000000000001</v>
      </c>
      <c r="F7" s="13">
        <f t="shared" si="2"/>
        <v>0.86580086580086568</v>
      </c>
      <c r="G7" s="13">
        <f t="shared" si="1"/>
        <v>0.12602200544616785</v>
      </c>
    </row>
    <row r="8" spans="1:7" ht="15" customHeight="1" x14ac:dyDescent="0.3">
      <c r="A8" s="5">
        <v>4</v>
      </c>
      <c r="B8" s="7" t="s">
        <v>33</v>
      </c>
      <c r="C8" s="6" t="s">
        <v>34</v>
      </c>
      <c r="D8" s="14">
        <v>0.15</v>
      </c>
      <c r="E8" s="15">
        <f t="shared" si="0"/>
        <v>1.1499999999999999</v>
      </c>
      <c r="F8" s="15">
        <f t="shared" si="2"/>
        <v>0.75287031808770932</v>
      </c>
      <c r="G8" s="15">
        <f t="shared" si="1"/>
        <v>0.10958435256188509</v>
      </c>
    </row>
    <row r="9" spans="1:7" ht="15" customHeight="1" x14ac:dyDescent="0.3">
      <c r="A9" s="2">
        <v>5</v>
      </c>
      <c r="B9" s="4" t="s">
        <v>46</v>
      </c>
      <c r="C9" s="3" t="s">
        <v>47</v>
      </c>
      <c r="D9" s="12">
        <v>0.1</v>
      </c>
      <c r="E9" s="13">
        <f t="shared" si="0"/>
        <v>1.1000000000000001</v>
      </c>
      <c r="F9" s="13">
        <f t="shared" si="2"/>
        <v>0.68442756189791754</v>
      </c>
      <c r="G9" s="13">
        <f t="shared" si="1"/>
        <v>9.9622138692622805E-2</v>
      </c>
    </row>
    <row r="10" spans="1:7" ht="15" customHeight="1" x14ac:dyDescent="0.3">
      <c r="A10" s="5">
        <v>6</v>
      </c>
      <c r="B10" s="7" t="s">
        <v>59</v>
      </c>
      <c r="C10" s="6" t="s">
        <v>60</v>
      </c>
      <c r="D10" s="14">
        <v>0.1</v>
      </c>
      <c r="E10" s="15">
        <f t="shared" si="0"/>
        <v>1.1000000000000001</v>
      </c>
      <c r="F10" s="15">
        <f t="shared" si="2"/>
        <v>0.62220687445265221</v>
      </c>
      <c r="G10" s="15">
        <f t="shared" si="1"/>
        <v>9.0565580629657083E-2</v>
      </c>
    </row>
    <row r="11" spans="1:7" ht="15" customHeight="1" x14ac:dyDescent="0.3">
      <c r="A11" s="2">
        <v>7</v>
      </c>
      <c r="B11" s="4" t="s">
        <v>53</v>
      </c>
      <c r="C11" s="3" t="s">
        <v>54</v>
      </c>
      <c r="D11" s="12">
        <v>0.1</v>
      </c>
      <c r="E11" s="13">
        <f t="shared" si="0"/>
        <v>1.1000000000000001</v>
      </c>
      <c r="F11" s="13">
        <f t="shared" si="2"/>
        <v>0.56564261313877473</v>
      </c>
      <c r="G11" s="13">
        <f t="shared" si="1"/>
        <v>8.2332346026960976E-2</v>
      </c>
    </row>
    <row r="12" spans="1:7" ht="15" customHeight="1" x14ac:dyDescent="0.3">
      <c r="A12" s="5">
        <v>8</v>
      </c>
      <c r="B12" s="7" t="s">
        <v>50</v>
      </c>
      <c r="C12" s="6" t="s">
        <v>51</v>
      </c>
      <c r="D12" s="14">
        <v>0.1</v>
      </c>
      <c r="E12" s="15">
        <f t="shared" si="0"/>
        <v>1.1000000000000001</v>
      </c>
      <c r="F12" s="15">
        <f t="shared" si="2"/>
        <v>0.51422055739888606</v>
      </c>
      <c r="G12" s="15">
        <f t="shared" si="1"/>
        <v>7.4847587297237242E-2</v>
      </c>
    </row>
    <row r="13" spans="1:7" ht="15" customHeight="1" x14ac:dyDescent="0.3">
      <c r="A13" s="2">
        <v>9</v>
      </c>
      <c r="B13" s="4" t="s">
        <v>62</v>
      </c>
      <c r="C13" s="3" t="s">
        <v>63</v>
      </c>
      <c r="D13" s="12">
        <v>0.1</v>
      </c>
      <c r="E13" s="13">
        <f t="shared" si="0"/>
        <v>1.1000000000000001</v>
      </c>
      <c r="F13" s="13">
        <f t="shared" si="2"/>
        <v>0.46747323399898727</v>
      </c>
      <c r="G13" s="13">
        <f t="shared" si="1"/>
        <v>6.8043261179306577E-2</v>
      </c>
    </row>
    <row r="14" spans="1:7" ht="15" customHeight="1" x14ac:dyDescent="0.3">
      <c r="A14" s="5">
        <v>10</v>
      </c>
      <c r="B14" s="7" t="s">
        <v>56</v>
      </c>
      <c r="C14" s="6" t="s">
        <v>57</v>
      </c>
      <c r="D14" s="14">
        <v>0.05</v>
      </c>
      <c r="E14" s="15">
        <f t="shared" si="0"/>
        <v>1.05</v>
      </c>
      <c r="F14" s="15">
        <f t="shared" si="2"/>
        <v>0.44521260380855926</v>
      </c>
      <c r="G14" s="15">
        <f t="shared" si="1"/>
        <v>6.4803105885053877E-2</v>
      </c>
    </row>
    <row r="15" spans="1:7" ht="15" customHeight="1" x14ac:dyDescent="0.3">
      <c r="A15" s="10" t="s">
        <v>87</v>
      </c>
      <c r="B15" s="16"/>
      <c r="C15" s="16"/>
      <c r="D15" s="16"/>
      <c r="E15" s="16"/>
      <c r="F15" s="17">
        <f>SUM(F5:F14)</f>
        <v>6.8702355809653044</v>
      </c>
      <c r="G15" s="17">
        <f>SUM(G5:G14)</f>
        <v>0.99999999999999989</v>
      </c>
    </row>
    <row r="17" spans="1:7" ht="15" customHeight="1" x14ac:dyDescent="0.3">
      <c r="A17" s="62" t="s">
        <v>88</v>
      </c>
      <c r="B17" s="57"/>
      <c r="C17" s="57"/>
      <c r="D17" s="57"/>
      <c r="E17" s="57"/>
      <c r="F17" s="57"/>
      <c r="G17" s="58"/>
    </row>
    <row r="18" spans="1:7" ht="15" customHeight="1" x14ac:dyDescent="0.3">
      <c r="A18" s="1" t="s">
        <v>2</v>
      </c>
      <c r="B18" s="1" t="s">
        <v>28</v>
      </c>
      <c r="C18" s="1" t="s">
        <v>29</v>
      </c>
      <c r="D18" s="1" t="s">
        <v>30</v>
      </c>
      <c r="E18" s="1" t="s">
        <v>82</v>
      </c>
      <c r="F18" s="1" t="s">
        <v>31</v>
      </c>
    </row>
    <row r="19" spans="1:7" ht="15" customHeight="1" x14ac:dyDescent="0.3">
      <c r="A19" s="2">
        <v>1</v>
      </c>
      <c r="B19" s="4" t="s">
        <v>33</v>
      </c>
      <c r="C19" s="3" t="s">
        <v>34</v>
      </c>
      <c r="D19" s="2" t="s">
        <v>35</v>
      </c>
      <c r="E19" s="2">
        <v>4</v>
      </c>
      <c r="F19" s="13">
        <f>G8</f>
        <v>0.10958435256188509</v>
      </c>
    </row>
    <row r="20" spans="1:7" ht="15" customHeight="1" x14ac:dyDescent="0.3">
      <c r="A20" s="5">
        <v>2</v>
      </c>
      <c r="B20" s="7" t="s">
        <v>37</v>
      </c>
      <c r="C20" s="6" t="s">
        <v>38</v>
      </c>
      <c r="D20" s="5" t="s">
        <v>35</v>
      </c>
      <c r="E20" s="5">
        <v>3</v>
      </c>
      <c r="F20" s="15">
        <f>G7</f>
        <v>0.12602200544616785</v>
      </c>
    </row>
    <row r="21" spans="1:7" ht="15" customHeight="1" x14ac:dyDescent="0.3">
      <c r="A21" s="2">
        <v>3</v>
      </c>
      <c r="B21" s="4" t="s">
        <v>40</v>
      </c>
      <c r="C21" s="3" t="s">
        <v>41</v>
      </c>
      <c r="D21" s="2" t="s">
        <v>35</v>
      </c>
      <c r="E21" s="2">
        <v>1</v>
      </c>
      <c r="F21" s="13">
        <f>G5</f>
        <v>0.14555541629032387</v>
      </c>
    </row>
    <row r="22" spans="1:7" ht="15" customHeight="1" x14ac:dyDescent="0.3">
      <c r="A22" s="5">
        <v>4</v>
      </c>
      <c r="B22" s="7" t="s">
        <v>43</v>
      </c>
      <c r="C22" s="6" t="s">
        <v>44</v>
      </c>
      <c r="D22" s="5" t="s">
        <v>35</v>
      </c>
      <c r="E22" s="5">
        <v>2</v>
      </c>
      <c r="F22" s="15">
        <f>G6</f>
        <v>0.13862420599078465</v>
      </c>
    </row>
    <row r="23" spans="1:7" ht="15" customHeight="1" x14ac:dyDescent="0.3">
      <c r="A23" s="2">
        <v>5</v>
      </c>
      <c r="B23" s="4" t="s">
        <v>46</v>
      </c>
      <c r="C23" s="3" t="s">
        <v>47</v>
      </c>
      <c r="D23" s="2" t="s">
        <v>48</v>
      </c>
      <c r="E23" s="2">
        <v>5</v>
      </c>
      <c r="F23" s="13">
        <f>G9</f>
        <v>9.9622138692622805E-2</v>
      </c>
    </row>
    <row r="24" spans="1:7" ht="15" customHeight="1" x14ac:dyDescent="0.3">
      <c r="A24" s="5">
        <v>6</v>
      </c>
      <c r="B24" s="7" t="s">
        <v>50</v>
      </c>
      <c r="C24" s="6" t="s">
        <v>51</v>
      </c>
      <c r="D24" s="5" t="s">
        <v>48</v>
      </c>
      <c r="E24" s="5">
        <v>8</v>
      </c>
      <c r="F24" s="15">
        <f>G12</f>
        <v>7.4847587297237242E-2</v>
      </c>
    </row>
    <row r="25" spans="1:7" ht="15" customHeight="1" x14ac:dyDescent="0.3">
      <c r="A25" s="2">
        <v>7</v>
      </c>
      <c r="B25" s="4" t="s">
        <v>53</v>
      </c>
      <c r="C25" s="3" t="s">
        <v>54</v>
      </c>
      <c r="D25" s="2" t="s">
        <v>48</v>
      </c>
      <c r="E25" s="2">
        <v>7</v>
      </c>
      <c r="F25" s="13">
        <f>G11</f>
        <v>8.2332346026960976E-2</v>
      </c>
    </row>
    <row r="26" spans="1:7" ht="15" customHeight="1" x14ac:dyDescent="0.3">
      <c r="A26" s="5">
        <v>8</v>
      </c>
      <c r="B26" s="7" t="s">
        <v>56</v>
      </c>
      <c r="C26" s="6" t="s">
        <v>57</v>
      </c>
      <c r="D26" s="5" t="s">
        <v>48</v>
      </c>
      <c r="E26" s="5">
        <v>10</v>
      </c>
      <c r="F26" s="15">
        <f>G14</f>
        <v>6.4803105885053877E-2</v>
      </c>
    </row>
    <row r="27" spans="1:7" ht="15" customHeight="1" x14ac:dyDescent="0.3">
      <c r="A27" s="2">
        <v>9</v>
      </c>
      <c r="B27" s="4" t="s">
        <v>59</v>
      </c>
      <c r="C27" s="3" t="s">
        <v>60</v>
      </c>
      <c r="D27" s="2" t="s">
        <v>48</v>
      </c>
      <c r="E27" s="2">
        <v>6</v>
      </c>
      <c r="F27" s="13">
        <f>G10</f>
        <v>9.0565580629657083E-2</v>
      </c>
    </row>
    <row r="28" spans="1:7" ht="15" customHeight="1" x14ac:dyDescent="0.3">
      <c r="A28" s="5">
        <v>10</v>
      </c>
      <c r="B28" s="7" t="s">
        <v>62</v>
      </c>
      <c r="C28" s="6" t="s">
        <v>63</v>
      </c>
      <c r="D28" s="5" t="s">
        <v>48</v>
      </c>
      <c r="E28" s="5">
        <v>9</v>
      </c>
      <c r="F28" s="15">
        <f>G13</f>
        <v>6.8043261179306577E-2</v>
      </c>
    </row>
  </sheetData>
  <mergeCells count="3">
    <mergeCell ref="A2:G2"/>
    <mergeCell ref="A1:G1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"/>
  <sheetViews>
    <sheetView showGridLines="0" zoomScaleNormal="100" workbookViewId="0">
      <selection activeCell="J3" sqref="J3"/>
    </sheetView>
  </sheetViews>
  <sheetFormatPr defaultColWidth="8.6640625" defaultRowHeight="14.4" x14ac:dyDescent="0.3"/>
  <cols>
    <col min="1" max="1" width="13" customWidth="1"/>
    <col min="2" max="12" width="12" customWidth="1"/>
  </cols>
  <sheetData>
    <row r="1" spans="1:12" ht="15" customHeight="1" x14ac:dyDescent="0.3">
      <c r="A1" s="59" t="s">
        <v>89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8"/>
    </row>
    <row r="2" spans="1:12" ht="15" customHeight="1" x14ac:dyDescent="0.3">
      <c r="A2" s="56" t="s">
        <v>90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2" ht="23.85" customHeight="1" x14ac:dyDescent="0.3">
      <c r="A3" s="10" t="s">
        <v>91</v>
      </c>
      <c r="B3" s="18">
        <f>'1.Data'!B30</f>
        <v>4</v>
      </c>
      <c r="C3" s="18">
        <f>'1.Data'!C30</f>
        <v>5</v>
      </c>
      <c r="D3" s="18">
        <f>'1.Data'!D30</f>
        <v>5</v>
      </c>
      <c r="E3" s="18">
        <f>'1.Data'!E30</f>
        <v>5</v>
      </c>
      <c r="F3" s="18">
        <f>'1.Data'!F30</f>
        <v>5</v>
      </c>
      <c r="G3" s="18">
        <f>'1.Data'!G30</f>
        <v>4</v>
      </c>
      <c r="H3" s="18">
        <f>'1.Data'!H30</f>
        <v>4</v>
      </c>
      <c r="I3" s="18">
        <f>'1.Data'!I30</f>
        <v>2</v>
      </c>
      <c r="J3" s="18">
        <f>'1.Data'!J30</f>
        <v>5</v>
      </c>
      <c r="K3" s="18">
        <f>'1.Data'!K30</f>
        <v>3</v>
      </c>
    </row>
    <row r="4" spans="1:12" ht="23.85" customHeight="1" x14ac:dyDescent="0.3">
      <c r="A4" s="10" t="s">
        <v>92</v>
      </c>
      <c r="B4" s="18">
        <f>'1.Data'!B31</f>
        <v>3</v>
      </c>
      <c r="C4" s="18">
        <f>'1.Data'!C31</f>
        <v>2</v>
      </c>
      <c r="D4" s="18">
        <f>'1.Data'!D31</f>
        <v>1</v>
      </c>
      <c r="E4" s="18">
        <f>'1.Data'!E31</f>
        <v>1</v>
      </c>
      <c r="F4" s="18">
        <f>'1.Data'!F31</f>
        <v>1</v>
      </c>
      <c r="G4" s="18">
        <f>'1.Data'!G31</f>
        <v>1</v>
      </c>
      <c r="H4" s="18">
        <f>'1.Data'!H31</f>
        <v>1</v>
      </c>
      <c r="I4" s="18">
        <f>'1.Data'!I31</f>
        <v>1</v>
      </c>
      <c r="J4" s="18">
        <f>'1.Data'!J31</f>
        <v>1</v>
      </c>
      <c r="K4" s="18">
        <f>'1.Data'!K31</f>
        <v>1</v>
      </c>
    </row>
    <row r="5" spans="1:12" ht="15" customHeight="1" x14ac:dyDescent="0.3">
      <c r="A5" s="1" t="s">
        <v>3</v>
      </c>
      <c r="B5" s="1" t="s">
        <v>33</v>
      </c>
      <c r="C5" s="1" t="s">
        <v>37</v>
      </c>
      <c r="D5" s="1" t="s">
        <v>40</v>
      </c>
      <c r="E5" s="1" t="s">
        <v>43</v>
      </c>
      <c r="F5" s="1" t="s">
        <v>46</v>
      </c>
      <c r="G5" s="1" t="s">
        <v>50</v>
      </c>
      <c r="H5" s="1" t="s">
        <v>53</v>
      </c>
      <c r="I5" s="1" t="s">
        <v>56</v>
      </c>
      <c r="J5" s="1" t="s">
        <v>59</v>
      </c>
      <c r="K5" s="1" t="s">
        <v>62</v>
      </c>
    </row>
    <row r="6" spans="1:12" ht="15" customHeight="1" x14ac:dyDescent="0.3">
      <c r="A6" s="4" t="s">
        <v>7</v>
      </c>
      <c r="B6" s="13">
        <f>IF($B$3=$B$4,0,('1.Data'!B9-$B$4)/($B$3-$B$4))</f>
        <v>1</v>
      </c>
      <c r="C6" s="13">
        <f>IF($C$3=$C$4,0,('1.Data'!C9-$C$4)/($C$3-$C$4))</f>
        <v>0.33333333333333331</v>
      </c>
      <c r="D6" s="13">
        <f>IF($D$3=$D$4,0,('1.Data'!D9-$D$4)/($D$3-$D$4))</f>
        <v>1</v>
      </c>
      <c r="E6" s="13">
        <f>IF($E$3=$E$4,0,('1.Data'!E9-$E$4)/($E$3-$E$4))</f>
        <v>1</v>
      </c>
      <c r="F6" s="13">
        <f>IF($F$3=$F$4,0,($F$3-'1.Data'!F9)/($F$3-$F$4))</f>
        <v>1</v>
      </c>
      <c r="G6" s="13">
        <f>IF($G$3=$G$4,0,($G$3-'1.Data'!G9)/($G$3-$G$4))</f>
        <v>1</v>
      </c>
      <c r="H6" s="13">
        <f>IF($H$3=$H$4,0,($H$3-'1.Data'!H9)/($H$3-$H$4))</f>
        <v>0</v>
      </c>
      <c r="I6" s="13">
        <f>IF($I$3=$I$4,0,($I$3-'1.Data'!I9)/($I$3-$I$4))</f>
        <v>1</v>
      </c>
      <c r="J6" s="13">
        <f>IF($J$3=$J$4,0,($J$3-'1.Data'!J9)/($J$3-$J$4))</f>
        <v>0.25</v>
      </c>
      <c r="K6" s="13">
        <f>IF($K$3=$K$4,0,($K$3-'1.Data'!K9)/($K$3-$K$4))</f>
        <v>0.5</v>
      </c>
    </row>
    <row r="7" spans="1:12" ht="15" customHeight="1" x14ac:dyDescent="0.3">
      <c r="A7" s="7" t="s">
        <v>8</v>
      </c>
      <c r="B7" s="15">
        <f>IF($B$3=$B$4,0,('1.Data'!B10-$B$4)/($B$3-$B$4))</f>
        <v>1</v>
      </c>
      <c r="C7" s="15">
        <f>IF($C$3=$C$4,0,('1.Data'!C10-$C$4)/($C$3-$C$4))</f>
        <v>0.33333333333333331</v>
      </c>
      <c r="D7" s="15">
        <f>IF($D$3=$D$4,0,('1.Data'!D10-$D$4)/($D$3-$D$4))</f>
        <v>0</v>
      </c>
      <c r="E7" s="15">
        <f>IF($E$3=$E$4,0,('1.Data'!E10-$E$4)/($E$3-$E$4))</f>
        <v>0</v>
      </c>
      <c r="F7" s="15">
        <f>IF($F$3=$F$4,0,($F$3-'1.Data'!F10)/($F$3-$F$4))</f>
        <v>0.5</v>
      </c>
      <c r="G7" s="15">
        <f>IF($G$3=$G$4,0,($G$3-'1.Data'!G10)/($G$3-$G$4))</f>
        <v>1</v>
      </c>
      <c r="H7" s="15">
        <f>IF($H$3=$H$4,0,($H$3-'1.Data'!H10)/($H$3-$H$4))</f>
        <v>1</v>
      </c>
      <c r="I7" s="15">
        <f>IF($I$3=$I$4,0,($I$3-'1.Data'!I10)/($I$3-$I$4))</f>
        <v>1</v>
      </c>
      <c r="J7" s="15">
        <f>IF($J$3=$J$4,0,($J$3-'1.Data'!J10)/($J$3-$J$4))</f>
        <v>1</v>
      </c>
      <c r="K7" s="15">
        <f>IF($K$3=$K$4,0,($K$3-'1.Data'!K10)/($K$3-$K$4))</f>
        <v>0.5</v>
      </c>
    </row>
    <row r="8" spans="1:12" ht="15" customHeight="1" x14ac:dyDescent="0.3">
      <c r="A8" s="4" t="s">
        <v>9</v>
      </c>
      <c r="B8" s="13">
        <f>IF($B$3=$B$4,0,('1.Data'!B11-$B$4)/($B$3-$B$4))</f>
        <v>1</v>
      </c>
      <c r="C8" s="13">
        <f>IF($C$3=$C$4,0,('1.Data'!C11-$C$4)/($C$3-$C$4))</f>
        <v>0.66666666666666663</v>
      </c>
      <c r="D8" s="13">
        <f>IF($D$3=$D$4,0,('1.Data'!D11-$D$4)/($D$3-$D$4))</f>
        <v>1</v>
      </c>
      <c r="E8" s="13">
        <f>IF($E$3=$E$4,0,('1.Data'!E11-$E$4)/($E$3-$E$4))</f>
        <v>1</v>
      </c>
      <c r="F8" s="13">
        <f>IF($F$3=$F$4,0,($F$3-'1.Data'!F11)/($F$3-$F$4))</f>
        <v>0.5</v>
      </c>
      <c r="G8" s="13">
        <f>IF($G$3=$G$4,0,($G$3-'1.Data'!G11)/($G$3-$G$4))</f>
        <v>1</v>
      </c>
      <c r="H8" s="13">
        <f>IF($H$3=$H$4,0,($H$3-'1.Data'!H11)/($H$3-$H$4))</f>
        <v>1</v>
      </c>
      <c r="I8" s="13">
        <f>IF($I$3=$I$4,0,($I$3-'1.Data'!I11)/($I$3-$I$4))</f>
        <v>1</v>
      </c>
      <c r="J8" s="13">
        <f>IF($J$3=$J$4,0,($J$3-'1.Data'!J11)/($J$3-$J$4))</f>
        <v>0.25</v>
      </c>
      <c r="K8" s="13">
        <f>IF($K$3=$K$4,0,($K$3-'1.Data'!K11)/($K$3-$K$4))</f>
        <v>1</v>
      </c>
    </row>
    <row r="9" spans="1:12" ht="15" customHeight="1" x14ac:dyDescent="0.3">
      <c r="A9" s="7" t="s">
        <v>10</v>
      </c>
      <c r="B9" s="15">
        <f>IF($B$3=$B$4,0,('1.Data'!B12-$B$4)/($B$3-$B$4))</f>
        <v>1</v>
      </c>
      <c r="C9" s="15">
        <f>IF($C$3=$C$4,0,('1.Data'!C12-$C$4)/($C$3-$C$4))</f>
        <v>0</v>
      </c>
      <c r="D9" s="15">
        <f>IF($D$3=$D$4,0,('1.Data'!D12-$D$4)/($D$3-$D$4))</f>
        <v>0</v>
      </c>
      <c r="E9" s="15">
        <f>IF($E$3=$E$4,0,('1.Data'!E12-$E$4)/($E$3-$E$4))</f>
        <v>0</v>
      </c>
      <c r="F9" s="15">
        <f>IF($F$3=$F$4,0,($F$3-'1.Data'!F12)/($F$3-$F$4))</f>
        <v>0.75</v>
      </c>
      <c r="G9" s="15">
        <f>IF($G$3=$G$4,0,($G$3-'1.Data'!G12)/($G$3-$G$4))</f>
        <v>1</v>
      </c>
      <c r="H9" s="15">
        <f>IF($H$3=$H$4,0,($H$3-'1.Data'!H12)/($H$3-$H$4))</f>
        <v>0</v>
      </c>
      <c r="I9" s="15">
        <f>IF($I$3=$I$4,0,($I$3-'1.Data'!I12)/($I$3-$I$4))</f>
        <v>1</v>
      </c>
      <c r="J9" s="15">
        <f>IF($J$3=$J$4,0,($J$3-'1.Data'!J12)/($J$3-$J$4))</f>
        <v>0.25</v>
      </c>
      <c r="K9" s="15">
        <f>IF($K$3=$K$4,0,($K$3-'1.Data'!K12)/($K$3-$K$4))</f>
        <v>0.5</v>
      </c>
    </row>
    <row r="10" spans="1:12" ht="15" customHeight="1" x14ac:dyDescent="0.3">
      <c r="A10" s="4" t="s">
        <v>11</v>
      </c>
      <c r="B10" s="13">
        <f>IF($B$3=$B$4,0,('1.Data'!B13-$B$4)/($B$3-$B$4))</f>
        <v>1</v>
      </c>
      <c r="C10" s="13">
        <f>IF($C$3=$C$4,0,('1.Data'!C13-$C$4)/($C$3-$C$4))</f>
        <v>0.33333333333333331</v>
      </c>
      <c r="D10" s="13">
        <f>IF($D$3=$D$4,0,('1.Data'!D13-$D$4)/($D$3-$D$4))</f>
        <v>1</v>
      </c>
      <c r="E10" s="13">
        <f>IF($E$3=$E$4,0,('1.Data'!E13-$E$4)/($E$3-$E$4))</f>
        <v>1</v>
      </c>
      <c r="F10" s="13">
        <f>IF($F$3=$F$4,0,($F$3-'1.Data'!F13)/($F$3-$F$4))</f>
        <v>0.5</v>
      </c>
      <c r="G10" s="13">
        <f>IF($G$3=$G$4,0,($G$3-'1.Data'!G13)/($G$3-$G$4))</f>
        <v>0.66666666666666663</v>
      </c>
      <c r="H10" s="13">
        <f>IF($H$3=$H$4,0,($H$3-'1.Data'!H13)/($H$3-$H$4))</f>
        <v>0</v>
      </c>
      <c r="I10" s="13">
        <f>IF($I$3=$I$4,0,($I$3-'1.Data'!I13)/($I$3-$I$4))</f>
        <v>1</v>
      </c>
      <c r="J10" s="13">
        <f>IF($J$3=$J$4,0,($J$3-'1.Data'!J13)/($J$3-$J$4))</f>
        <v>1</v>
      </c>
      <c r="K10" s="13">
        <f>IF($K$3=$K$4,0,($K$3-'1.Data'!K13)/($K$3-$K$4))</f>
        <v>0.5</v>
      </c>
    </row>
    <row r="11" spans="1:12" ht="15" customHeight="1" x14ac:dyDescent="0.3">
      <c r="A11" s="7" t="s">
        <v>12</v>
      </c>
      <c r="B11" s="15">
        <f>IF($B$3=$B$4,0,('1.Data'!B14-$B$4)/($B$3-$B$4))</f>
        <v>1</v>
      </c>
      <c r="C11" s="15">
        <f>IF($C$3=$C$4,0,('1.Data'!C14-$C$4)/($C$3-$C$4))</f>
        <v>0.66666666666666663</v>
      </c>
      <c r="D11" s="15">
        <f>IF($D$3=$D$4,0,('1.Data'!D14-$D$4)/($D$3-$D$4))</f>
        <v>0</v>
      </c>
      <c r="E11" s="15">
        <f>IF($E$3=$E$4,0,('1.Data'!E14-$E$4)/($E$3-$E$4))</f>
        <v>0</v>
      </c>
      <c r="F11" s="15">
        <f>IF($F$3=$F$4,0,($F$3-'1.Data'!F14)/($F$3-$F$4))</f>
        <v>0</v>
      </c>
      <c r="G11" s="15">
        <f>IF($G$3=$G$4,0,($G$3-'1.Data'!G14)/($G$3-$G$4))</f>
        <v>1</v>
      </c>
      <c r="H11" s="15">
        <f>IF($H$3=$H$4,0,($H$3-'1.Data'!H14)/($H$3-$H$4))</f>
        <v>0</v>
      </c>
      <c r="I11" s="15">
        <f>IF($I$3=$I$4,0,($I$3-'1.Data'!I14)/($I$3-$I$4))</f>
        <v>1</v>
      </c>
      <c r="J11" s="15">
        <f>IF($J$3=$J$4,0,($J$3-'1.Data'!J14)/($J$3-$J$4))</f>
        <v>0.25</v>
      </c>
      <c r="K11" s="15">
        <f>IF($K$3=$K$4,0,($K$3-'1.Data'!K14)/($K$3-$K$4))</f>
        <v>0.5</v>
      </c>
    </row>
    <row r="12" spans="1:12" ht="15" customHeight="1" x14ac:dyDescent="0.3">
      <c r="A12" s="4" t="s">
        <v>13</v>
      </c>
      <c r="B12" s="13">
        <f>IF($B$3=$B$4,0,('1.Data'!B15-$B$4)/($B$3-$B$4))</f>
        <v>1</v>
      </c>
      <c r="C12" s="13">
        <f>IF($C$3=$C$4,0,('1.Data'!C15-$C$4)/($C$3-$C$4))</f>
        <v>0.33333333333333331</v>
      </c>
      <c r="D12" s="13">
        <f>IF($D$3=$D$4,0,('1.Data'!D15-$D$4)/($D$3-$D$4))</f>
        <v>0</v>
      </c>
      <c r="E12" s="13">
        <f>IF($E$3=$E$4,0,('1.Data'!E15-$E$4)/($E$3-$E$4))</f>
        <v>0</v>
      </c>
      <c r="F12" s="13">
        <f>IF($F$3=$F$4,0,($F$3-'1.Data'!F15)/($F$3-$F$4))</f>
        <v>1</v>
      </c>
      <c r="G12" s="13">
        <f>IF($G$3=$G$4,0,($G$3-'1.Data'!G15)/($G$3-$G$4))</f>
        <v>1</v>
      </c>
      <c r="H12" s="13">
        <f>IF($H$3=$H$4,0,($H$3-'1.Data'!H15)/($H$3-$H$4))</f>
        <v>0</v>
      </c>
      <c r="I12" s="13">
        <f>IF($I$3=$I$4,0,($I$3-'1.Data'!I15)/($I$3-$I$4))</f>
        <v>1</v>
      </c>
      <c r="J12" s="13">
        <f>IF($J$3=$J$4,0,($J$3-'1.Data'!J15)/($J$3-$J$4))</f>
        <v>0.75</v>
      </c>
      <c r="K12" s="13">
        <f>IF($K$3=$K$4,0,($K$3-'1.Data'!K15)/($K$3-$K$4))</f>
        <v>0.5</v>
      </c>
    </row>
    <row r="13" spans="1:12" ht="15" customHeight="1" x14ac:dyDescent="0.3">
      <c r="A13" s="7" t="s">
        <v>14</v>
      </c>
      <c r="B13" s="15">
        <f>IF($B$3=$B$4,0,('1.Data'!B16-$B$4)/($B$3-$B$4))</f>
        <v>0</v>
      </c>
      <c r="C13" s="15">
        <f>IF($C$3=$C$4,0,('1.Data'!C16-$C$4)/($C$3-$C$4))</f>
        <v>0.33333333333333331</v>
      </c>
      <c r="D13" s="15">
        <f>IF($D$3=$D$4,0,('1.Data'!D16-$D$4)/($D$3-$D$4))</f>
        <v>1</v>
      </c>
      <c r="E13" s="15">
        <f>IF($E$3=$E$4,0,('1.Data'!E16-$E$4)/($E$3-$E$4))</f>
        <v>1</v>
      </c>
      <c r="F13" s="15">
        <f>IF($F$3=$F$4,0,($F$3-'1.Data'!F16)/($F$3-$F$4))</f>
        <v>0</v>
      </c>
      <c r="G13" s="15">
        <f>IF($G$3=$G$4,0,($G$3-'1.Data'!G16)/($G$3-$G$4))</f>
        <v>1</v>
      </c>
      <c r="H13" s="15">
        <f>IF($H$3=$H$4,0,($H$3-'1.Data'!H16)/($H$3-$H$4))</f>
        <v>0.33333333333333331</v>
      </c>
      <c r="I13" s="15">
        <f>IF($I$3=$I$4,0,($I$3-'1.Data'!I16)/($I$3-$I$4))</f>
        <v>1</v>
      </c>
      <c r="J13" s="15">
        <f>IF($J$3=$J$4,0,($J$3-'1.Data'!J16)/($J$3-$J$4))</f>
        <v>0.5</v>
      </c>
      <c r="K13" s="15">
        <f>IF($K$3=$K$4,0,($K$3-'1.Data'!K16)/($K$3-$K$4))</f>
        <v>0</v>
      </c>
    </row>
    <row r="14" spans="1:12" ht="15" customHeight="1" x14ac:dyDescent="0.3">
      <c r="A14" s="4" t="s">
        <v>15</v>
      </c>
      <c r="B14" s="13">
        <f>IF($B$3=$B$4,0,('1.Data'!B17-$B$4)/($B$3-$B$4))</f>
        <v>1</v>
      </c>
      <c r="C14" s="13">
        <f>IF($C$3=$C$4,0,('1.Data'!C17-$C$4)/($C$3-$C$4))</f>
        <v>0.33333333333333331</v>
      </c>
      <c r="D14" s="13">
        <f>IF($D$3=$D$4,0,('1.Data'!D17-$D$4)/($D$3-$D$4))</f>
        <v>0</v>
      </c>
      <c r="E14" s="13">
        <f>IF($E$3=$E$4,0,('1.Data'!E17-$E$4)/($E$3-$E$4))</f>
        <v>1</v>
      </c>
      <c r="F14" s="13">
        <f>IF($F$3=$F$4,0,($F$3-'1.Data'!F17)/($F$3-$F$4))</f>
        <v>0.5</v>
      </c>
      <c r="G14" s="13">
        <f>IF($G$3=$G$4,0,($G$3-'1.Data'!G17)/($G$3-$G$4))</f>
        <v>1</v>
      </c>
      <c r="H14" s="13">
        <f>IF($H$3=$H$4,0,($H$3-'1.Data'!H17)/($H$3-$H$4))</f>
        <v>0</v>
      </c>
      <c r="I14" s="13">
        <f>IF($I$3=$I$4,0,($I$3-'1.Data'!I17)/($I$3-$I$4))</f>
        <v>1</v>
      </c>
      <c r="J14" s="13">
        <f>IF($J$3=$J$4,0,($J$3-'1.Data'!J17)/($J$3-$J$4))</f>
        <v>0.25</v>
      </c>
      <c r="K14" s="13">
        <f>IF($K$3=$K$4,0,($K$3-'1.Data'!K17)/($K$3-$K$4))</f>
        <v>0.5</v>
      </c>
    </row>
    <row r="15" spans="1:12" ht="15" customHeight="1" x14ac:dyDescent="0.3">
      <c r="A15" s="7" t="s">
        <v>16</v>
      </c>
      <c r="B15" s="15">
        <f>IF($B$3=$B$4,0,('1.Data'!B18-$B$4)/($B$3-$B$4))</f>
        <v>1</v>
      </c>
      <c r="C15" s="15">
        <f>IF($C$3=$C$4,0,('1.Data'!C18-$C$4)/($C$3-$C$4))</f>
        <v>0.33333333333333331</v>
      </c>
      <c r="D15" s="15">
        <f>IF($D$3=$D$4,0,('1.Data'!D18-$D$4)/($D$3-$D$4))</f>
        <v>0</v>
      </c>
      <c r="E15" s="15">
        <f>IF($E$3=$E$4,0,('1.Data'!E18-$E$4)/($E$3-$E$4))</f>
        <v>0</v>
      </c>
      <c r="F15" s="15">
        <f>IF($F$3=$F$4,0,($F$3-'1.Data'!F18)/($F$3-$F$4))</f>
        <v>0.75</v>
      </c>
      <c r="G15" s="15">
        <f>IF($G$3=$G$4,0,($G$3-'1.Data'!G18)/($G$3-$G$4))</f>
        <v>1</v>
      </c>
      <c r="H15" s="15">
        <f>IF($H$3=$H$4,0,($H$3-'1.Data'!H18)/($H$3-$H$4))</f>
        <v>1</v>
      </c>
      <c r="I15" s="15">
        <f>IF($I$3=$I$4,0,($I$3-'1.Data'!I18)/($I$3-$I$4))</f>
        <v>1</v>
      </c>
      <c r="J15" s="15">
        <f>IF($J$3=$J$4,0,($J$3-'1.Data'!J18)/($J$3-$J$4))</f>
        <v>0.25</v>
      </c>
      <c r="K15" s="15">
        <f>IF($K$3=$K$4,0,($K$3-'1.Data'!K18)/($K$3-$K$4))</f>
        <v>0.5</v>
      </c>
    </row>
    <row r="16" spans="1:12" ht="15" customHeight="1" x14ac:dyDescent="0.3">
      <c r="A16" s="4" t="s">
        <v>17</v>
      </c>
      <c r="B16" s="13">
        <f>IF($B$3=$B$4,0,('1.Data'!B19-$B$4)/($B$3-$B$4))</f>
        <v>1</v>
      </c>
      <c r="C16" s="13">
        <f>IF($C$3=$C$4,0,('1.Data'!C19-$C$4)/($C$3-$C$4))</f>
        <v>0</v>
      </c>
      <c r="D16" s="13">
        <f>IF($D$3=$D$4,0,('1.Data'!D19-$D$4)/($D$3-$D$4))</f>
        <v>0</v>
      </c>
      <c r="E16" s="13">
        <f>IF($E$3=$E$4,0,('1.Data'!E19-$E$4)/($E$3-$E$4))</f>
        <v>0</v>
      </c>
      <c r="F16" s="13">
        <f>IF($F$3=$F$4,0,($F$3-'1.Data'!F19)/($F$3-$F$4))</f>
        <v>0.75</v>
      </c>
      <c r="G16" s="13">
        <f>IF($G$3=$G$4,0,($G$3-'1.Data'!G19)/($G$3-$G$4))</f>
        <v>1</v>
      </c>
      <c r="H16" s="13">
        <f>IF($H$3=$H$4,0,($H$3-'1.Data'!H19)/($H$3-$H$4))</f>
        <v>0</v>
      </c>
      <c r="I16" s="13">
        <f>IF($I$3=$I$4,0,($I$3-'1.Data'!I19)/($I$3-$I$4))</f>
        <v>1</v>
      </c>
      <c r="J16" s="13">
        <f>IF($J$3=$J$4,0,($J$3-'1.Data'!J19)/($J$3-$J$4))</f>
        <v>1</v>
      </c>
      <c r="K16" s="13">
        <f>IF($K$3=$K$4,0,($K$3-'1.Data'!K19)/($K$3-$K$4))</f>
        <v>0.5</v>
      </c>
    </row>
    <row r="17" spans="1:11" ht="15" customHeight="1" x14ac:dyDescent="0.3">
      <c r="A17" s="7" t="s">
        <v>18</v>
      </c>
      <c r="B17" s="15">
        <f>IF($B$3=$B$4,0,('1.Data'!B20-$B$4)/($B$3-$B$4))</f>
        <v>1</v>
      </c>
      <c r="C17" s="15">
        <f>IF($C$3=$C$4,0,('1.Data'!C20-$C$4)/($C$3-$C$4))</f>
        <v>0</v>
      </c>
      <c r="D17" s="15">
        <f>IF($D$3=$D$4,0,('1.Data'!D20-$D$4)/($D$3-$D$4))</f>
        <v>1</v>
      </c>
      <c r="E17" s="15">
        <f>IF($E$3=$E$4,0,('1.Data'!E20-$E$4)/($E$3-$E$4))</f>
        <v>1</v>
      </c>
      <c r="F17" s="15">
        <f>IF($F$3=$F$4,0,($F$3-'1.Data'!F20)/($F$3-$F$4))</f>
        <v>0.5</v>
      </c>
      <c r="G17" s="15">
        <f>IF($G$3=$G$4,0,($G$3-'1.Data'!G20)/($G$3-$G$4))</f>
        <v>0.33333333333333331</v>
      </c>
      <c r="H17" s="15">
        <f>IF($H$3=$H$4,0,($H$3-'1.Data'!H20)/($H$3-$H$4))</f>
        <v>0</v>
      </c>
      <c r="I17" s="15">
        <f>IF($I$3=$I$4,0,($I$3-'1.Data'!I20)/($I$3-$I$4))</f>
        <v>1</v>
      </c>
      <c r="J17" s="15">
        <f>IF($J$3=$J$4,0,($J$3-'1.Data'!J20)/($J$3-$J$4))</f>
        <v>1</v>
      </c>
      <c r="K17" s="15">
        <f>IF($K$3=$K$4,0,($K$3-'1.Data'!K20)/($K$3-$K$4))</f>
        <v>0.5</v>
      </c>
    </row>
    <row r="18" spans="1:11" ht="15" customHeight="1" x14ac:dyDescent="0.3">
      <c r="A18" s="4" t="s">
        <v>19</v>
      </c>
      <c r="B18" s="13">
        <f>IF($B$3=$B$4,0,('1.Data'!B21-$B$4)/($B$3-$B$4))</f>
        <v>1</v>
      </c>
      <c r="C18" s="13">
        <f>IF($C$3=$C$4,0,('1.Data'!C21-$C$4)/($C$3-$C$4))</f>
        <v>0</v>
      </c>
      <c r="D18" s="13">
        <f>IF($D$3=$D$4,0,('1.Data'!D21-$D$4)/($D$3-$D$4))</f>
        <v>0</v>
      </c>
      <c r="E18" s="13">
        <f>IF($E$3=$E$4,0,('1.Data'!E21-$E$4)/($E$3-$E$4))</f>
        <v>0</v>
      </c>
      <c r="F18" s="13">
        <f>IF($F$3=$F$4,0,($F$3-'1.Data'!F21)/($F$3-$F$4))</f>
        <v>0.5</v>
      </c>
      <c r="G18" s="13">
        <f>IF($G$3=$G$4,0,($G$3-'1.Data'!G21)/($G$3-$G$4))</f>
        <v>1</v>
      </c>
      <c r="H18" s="13">
        <f>IF($H$3=$H$4,0,($H$3-'1.Data'!H21)/($H$3-$H$4))</f>
        <v>0</v>
      </c>
      <c r="I18" s="13">
        <f>IF($I$3=$I$4,0,($I$3-'1.Data'!I21)/($I$3-$I$4))</f>
        <v>1</v>
      </c>
      <c r="J18" s="13">
        <f>IF($J$3=$J$4,0,($J$3-'1.Data'!J21)/($J$3-$J$4))</f>
        <v>0.5</v>
      </c>
      <c r="K18" s="13">
        <f>IF($K$3=$K$4,0,($K$3-'1.Data'!K21)/($K$3-$K$4))</f>
        <v>0.5</v>
      </c>
    </row>
    <row r="19" spans="1:11" ht="15" customHeight="1" x14ac:dyDescent="0.3">
      <c r="A19" s="7" t="s">
        <v>20</v>
      </c>
      <c r="B19" s="15">
        <f>IF($B$3=$B$4,0,('1.Data'!B22-$B$4)/($B$3-$B$4))</f>
        <v>1</v>
      </c>
      <c r="C19" s="15">
        <f>IF($C$3=$C$4,0,('1.Data'!C22-$C$4)/($C$3-$C$4))</f>
        <v>1</v>
      </c>
      <c r="D19" s="15">
        <f>IF($D$3=$D$4,0,('1.Data'!D22-$D$4)/($D$3-$D$4))</f>
        <v>1</v>
      </c>
      <c r="E19" s="15">
        <f>IF($E$3=$E$4,0,('1.Data'!E22-$E$4)/($E$3-$E$4))</f>
        <v>1</v>
      </c>
      <c r="F19" s="15">
        <f>IF($F$3=$F$4,0,($F$3-'1.Data'!F22)/($F$3-$F$4))</f>
        <v>1</v>
      </c>
      <c r="G19" s="15">
        <f>IF($G$3=$G$4,0,($G$3-'1.Data'!G22)/($G$3-$G$4))</f>
        <v>0.66666666666666663</v>
      </c>
      <c r="H19" s="15">
        <f>IF($H$3=$H$4,0,($H$3-'1.Data'!H22)/($H$3-$H$4))</f>
        <v>0</v>
      </c>
      <c r="I19" s="15">
        <f>IF($I$3=$I$4,0,($I$3-'1.Data'!I22)/($I$3-$I$4))</f>
        <v>1</v>
      </c>
      <c r="J19" s="15">
        <f>IF($J$3=$J$4,0,($J$3-'1.Data'!J22)/($J$3-$J$4))</f>
        <v>0</v>
      </c>
      <c r="K19" s="15">
        <f>IF($K$3=$K$4,0,($K$3-'1.Data'!K22)/($K$3-$K$4))</f>
        <v>0.5</v>
      </c>
    </row>
    <row r="20" spans="1:11" ht="15" customHeight="1" x14ac:dyDescent="0.3">
      <c r="A20" s="4" t="s">
        <v>21</v>
      </c>
      <c r="B20" s="13">
        <f>IF($B$3=$B$4,0,('1.Data'!B23-$B$4)/($B$3-$B$4))</f>
        <v>1</v>
      </c>
      <c r="C20" s="13">
        <f>IF($C$3=$C$4,0,('1.Data'!C23-$C$4)/($C$3-$C$4))</f>
        <v>0.33333333333333331</v>
      </c>
      <c r="D20" s="13">
        <f>IF($D$3=$D$4,0,('1.Data'!D23-$D$4)/($D$3-$D$4))</f>
        <v>0</v>
      </c>
      <c r="E20" s="13">
        <f>IF($E$3=$E$4,0,('1.Data'!E23-$E$4)/($E$3-$E$4))</f>
        <v>0</v>
      </c>
      <c r="F20" s="13">
        <f>IF($F$3=$F$4,0,($F$3-'1.Data'!F23)/($F$3-$F$4))</f>
        <v>0.5</v>
      </c>
      <c r="G20" s="13">
        <f>IF($G$3=$G$4,0,($G$3-'1.Data'!G23)/($G$3-$G$4))</f>
        <v>0.33333333333333331</v>
      </c>
      <c r="H20" s="13">
        <f>IF($H$3=$H$4,0,($H$3-'1.Data'!H23)/($H$3-$H$4))</f>
        <v>0</v>
      </c>
      <c r="I20" s="13">
        <f>IF($I$3=$I$4,0,($I$3-'1.Data'!I23)/($I$3-$I$4))</f>
        <v>1</v>
      </c>
      <c r="J20" s="13">
        <f>IF($J$3=$J$4,0,($J$3-'1.Data'!J23)/($J$3-$J$4))</f>
        <v>0.5</v>
      </c>
      <c r="K20" s="13">
        <f>IF($K$3=$K$4,0,($K$3-'1.Data'!K23)/($K$3-$K$4))</f>
        <v>0.5</v>
      </c>
    </row>
    <row r="21" spans="1:11" x14ac:dyDescent="0.3">
      <c r="A21" s="7" t="s">
        <v>22</v>
      </c>
      <c r="B21" s="15">
        <f>IF($B$3=$B$4,0,('1.Data'!B24-$B$4)/($B$3-$B$4))</f>
        <v>1</v>
      </c>
      <c r="C21" s="15">
        <f>IF($C$3=$C$4,0,('1.Data'!C24-$C$4)/($C$3-$C$4))</f>
        <v>0.66666666666666663</v>
      </c>
      <c r="D21" s="15">
        <f>IF($D$3=$D$4,0,('1.Data'!D24-$D$4)/($D$3-$D$4))</f>
        <v>0</v>
      </c>
      <c r="E21" s="15">
        <f>IF($E$3=$E$4,0,('1.Data'!E24-$E$4)/($E$3-$E$4))</f>
        <v>0</v>
      </c>
      <c r="F21" s="15">
        <f>IF($F$3=$F$4,0,($F$3-'1.Data'!F24)/($F$3-$F$4))</f>
        <v>0</v>
      </c>
      <c r="G21" s="15">
        <f>IF($G$3=$G$4,0,($G$3-'1.Data'!G24)/($G$3-$G$4))</f>
        <v>1</v>
      </c>
      <c r="H21" s="15">
        <f>IF($H$3=$H$4,0,($H$3-'1.Data'!H24)/($H$3-$H$4))</f>
        <v>1</v>
      </c>
      <c r="I21" s="15">
        <f>IF($I$3=$I$4,0,($I$3-'1.Data'!I24)/($I$3-$I$4))</f>
        <v>1</v>
      </c>
      <c r="J21" s="15">
        <f>IF($J$3=$J$4,0,($J$3-'1.Data'!J24)/($J$3-$J$4))</f>
        <v>0.5</v>
      </c>
      <c r="K21" s="15">
        <f>IF($K$3=$K$4,0,($K$3-'1.Data'!K24)/($K$3-$K$4))</f>
        <v>0</v>
      </c>
    </row>
    <row r="22" spans="1:11" x14ac:dyDescent="0.3">
      <c r="A22" s="4" t="s">
        <v>23</v>
      </c>
      <c r="B22" s="13">
        <f>IF($B$3=$B$4,0,('1.Data'!B25-$B$4)/($B$3-$B$4))</f>
        <v>1</v>
      </c>
      <c r="C22" s="13">
        <f>IF($C$3=$C$4,0,('1.Data'!C25-$C$4)/($C$3-$C$4))</f>
        <v>1</v>
      </c>
      <c r="D22" s="13">
        <f>IF($D$3=$D$4,0,('1.Data'!D25-$D$4)/($D$3-$D$4))</f>
        <v>0</v>
      </c>
      <c r="E22" s="13">
        <f>IF($E$3=$E$4,0,('1.Data'!E25-$E$4)/($E$3-$E$4))</f>
        <v>0</v>
      </c>
      <c r="F22" s="13">
        <f>IF($F$3=$F$4,0,($F$3-'1.Data'!F25)/($F$3-$F$4))</f>
        <v>1</v>
      </c>
      <c r="G22" s="13">
        <f>IF($G$3=$G$4,0,($G$3-'1.Data'!G25)/($G$3-$G$4))</f>
        <v>0.33333333333333331</v>
      </c>
      <c r="H22" s="13">
        <f>IF($H$3=$H$4,0,($H$3-'1.Data'!H25)/($H$3-$H$4))</f>
        <v>0</v>
      </c>
      <c r="I22" s="13">
        <f>IF($I$3=$I$4,0,($I$3-'1.Data'!I25)/($I$3-$I$4))</f>
        <v>0</v>
      </c>
      <c r="J22" s="13">
        <f>IF($J$3=$J$4,0,($J$3-'1.Data'!J25)/($J$3-$J$4))</f>
        <v>0.5</v>
      </c>
      <c r="K22" s="13">
        <f>IF($K$3=$K$4,0,($K$3-'1.Data'!K25)/($K$3-$K$4))</f>
        <v>0.5</v>
      </c>
    </row>
    <row r="23" spans="1:11" x14ac:dyDescent="0.3">
      <c r="A23" s="7" t="s">
        <v>24</v>
      </c>
      <c r="B23" s="15">
        <f>IF($B$3=$B$4,0,('1.Data'!B26-$B$4)/($B$3-$B$4))</f>
        <v>1</v>
      </c>
      <c r="C23" s="15">
        <f>IF($C$3=$C$4,0,('1.Data'!C26-$C$4)/($C$3-$C$4))</f>
        <v>0.66666666666666663</v>
      </c>
      <c r="D23" s="15">
        <f>IF($D$3=$D$4,0,('1.Data'!D26-$D$4)/($D$3-$D$4))</f>
        <v>0</v>
      </c>
      <c r="E23" s="15">
        <f>IF($E$3=$E$4,0,('1.Data'!E26-$E$4)/($E$3-$E$4))</f>
        <v>0</v>
      </c>
      <c r="F23" s="15">
        <f>IF($F$3=$F$4,0,($F$3-'1.Data'!F26)/($F$3-$F$4))</f>
        <v>0.5</v>
      </c>
      <c r="G23" s="15">
        <f>IF($G$3=$G$4,0,($G$3-'1.Data'!G26)/($G$3-$G$4))</f>
        <v>1</v>
      </c>
      <c r="H23" s="15">
        <f>IF($H$3=$H$4,0,($H$3-'1.Data'!H26)/($H$3-$H$4))</f>
        <v>0</v>
      </c>
      <c r="I23" s="15">
        <f>IF($I$3=$I$4,0,($I$3-'1.Data'!I26)/($I$3-$I$4))</f>
        <v>0</v>
      </c>
      <c r="J23" s="15">
        <f>IF($J$3=$J$4,0,($J$3-'1.Data'!J26)/($J$3-$J$4))</f>
        <v>0.25</v>
      </c>
      <c r="K23" s="15">
        <f>IF($K$3=$K$4,0,($K$3-'1.Data'!K26)/($K$3-$K$4))</f>
        <v>0.5</v>
      </c>
    </row>
    <row r="24" spans="1:11" x14ac:dyDescent="0.3">
      <c r="A24" s="4" t="s">
        <v>25</v>
      </c>
      <c r="B24" s="13">
        <f>IF($B$3=$B$4,0,('1.Data'!B27-$B$4)/($B$3-$B$4))</f>
        <v>1</v>
      </c>
      <c r="C24" s="13">
        <f>IF($C$3=$C$4,0,('1.Data'!C27-$C$4)/($C$3-$C$4))</f>
        <v>0.33333333333333331</v>
      </c>
      <c r="D24" s="13">
        <f>IF($D$3=$D$4,0,('1.Data'!D27-$D$4)/($D$3-$D$4))</f>
        <v>0</v>
      </c>
      <c r="E24" s="13">
        <f>IF($E$3=$E$4,0,('1.Data'!E27-$E$4)/($E$3-$E$4))</f>
        <v>0</v>
      </c>
      <c r="F24" s="13">
        <f>IF($F$3=$F$4,0,($F$3-'1.Data'!F27)/($F$3-$F$4))</f>
        <v>0</v>
      </c>
      <c r="G24" s="13">
        <f>IF($G$3=$G$4,0,($G$3-'1.Data'!G27)/($G$3-$G$4))</f>
        <v>1</v>
      </c>
      <c r="H24" s="13">
        <f>IF($H$3=$H$4,0,($H$3-'1.Data'!H27)/($H$3-$H$4))</f>
        <v>0</v>
      </c>
      <c r="I24" s="13">
        <f>IF($I$3=$I$4,0,($I$3-'1.Data'!I27)/($I$3-$I$4))</f>
        <v>1</v>
      </c>
      <c r="J24" s="13">
        <f>IF($J$3=$J$4,0,($J$3-'1.Data'!J27)/($J$3-$J$4))</f>
        <v>1</v>
      </c>
      <c r="K24" s="13">
        <f>IF($K$3=$K$4,0,($K$3-'1.Data'!K27)/($K$3-$K$4))</f>
        <v>0.5</v>
      </c>
    </row>
    <row r="25" spans="1:11" x14ac:dyDescent="0.3">
      <c r="A25" s="7" t="s">
        <v>26</v>
      </c>
      <c r="B25" s="15">
        <f>IF($B$3=$B$4,0,('1.Data'!B28-$B$4)/($B$3-$B$4))</f>
        <v>1</v>
      </c>
      <c r="C25" s="15">
        <f>IF($C$3=$C$4,0,('1.Data'!C28-$C$4)/($C$3-$C$4))</f>
        <v>0.66666666666666663</v>
      </c>
      <c r="D25" s="15">
        <f>IF($D$3=$D$4,0,('1.Data'!D28-$D$4)/($D$3-$D$4))</f>
        <v>0</v>
      </c>
      <c r="E25" s="15">
        <f>IF($E$3=$E$4,0,('1.Data'!E28-$E$4)/($E$3-$E$4))</f>
        <v>0</v>
      </c>
      <c r="F25" s="15">
        <f>IF($F$3=$F$4,0,($F$3-'1.Data'!F28)/($F$3-$F$4))</f>
        <v>0.5</v>
      </c>
      <c r="G25" s="15">
        <f>IF($G$3=$G$4,0,($G$3-'1.Data'!G28)/($G$3-$G$4))</f>
        <v>0</v>
      </c>
      <c r="H25" s="15">
        <f>IF($H$3=$H$4,0,($H$3-'1.Data'!H28)/($H$3-$H$4))</f>
        <v>0</v>
      </c>
      <c r="I25" s="15">
        <f>IF($I$3=$I$4,0,($I$3-'1.Data'!I28)/($I$3-$I$4))</f>
        <v>1</v>
      </c>
      <c r="J25" s="15">
        <f>IF($J$3=$J$4,0,($J$3-'1.Data'!J28)/($J$3-$J$4))</f>
        <v>0</v>
      </c>
      <c r="K25" s="15">
        <f>IF($K$3=$K$4,0,($K$3-'1.Data'!K28)/($K$3-$K$4))</f>
        <v>0.5</v>
      </c>
    </row>
  </sheetData>
  <mergeCells count="2">
    <mergeCell ref="A2:L2"/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4"/>
  <sheetViews>
    <sheetView showGridLines="0" topLeftCell="A4" zoomScaleNormal="100" workbookViewId="0">
      <selection sqref="A1:L1"/>
    </sheetView>
  </sheetViews>
  <sheetFormatPr defaultColWidth="8.6640625" defaultRowHeight="14.4" x14ac:dyDescent="0.3"/>
  <cols>
    <col min="1" max="1" width="13" customWidth="1"/>
    <col min="2" max="12" width="14" customWidth="1"/>
  </cols>
  <sheetData>
    <row r="1" spans="1:12" ht="15" customHeight="1" x14ac:dyDescent="0.3">
      <c r="A1" s="59" t="s">
        <v>93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8"/>
    </row>
    <row r="2" spans="1:12" ht="15" customHeight="1" x14ac:dyDescent="0.3">
      <c r="A2" s="56" t="s">
        <v>94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2" ht="23.85" customHeight="1" x14ac:dyDescent="0.3">
      <c r="A3" s="10" t="s">
        <v>95</v>
      </c>
      <c r="B3" s="19">
        <f>'2.SWARA'!F19</f>
        <v>0.10958435256188509</v>
      </c>
      <c r="C3" s="19">
        <f>'2.SWARA'!F20</f>
        <v>0.12602200544616785</v>
      </c>
      <c r="D3" s="19">
        <f>'2.SWARA'!F21</f>
        <v>0.14555541629032387</v>
      </c>
      <c r="E3" s="19">
        <f>'2.SWARA'!F22</f>
        <v>0.13862420599078465</v>
      </c>
      <c r="F3" s="19">
        <f>'2.SWARA'!F23</f>
        <v>9.9622138692622805E-2</v>
      </c>
      <c r="G3" s="19">
        <f>'2.SWARA'!F24</f>
        <v>7.4847587297237242E-2</v>
      </c>
      <c r="H3" s="19">
        <f>'2.SWARA'!F25</f>
        <v>8.2332346026960976E-2</v>
      </c>
      <c r="I3" s="19">
        <f>'2.SWARA'!F26</f>
        <v>6.4803105885053877E-2</v>
      </c>
      <c r="J3" s="19">
        <f>'2.SWARA'!F27</f>
        <v>9.0565580629657083E-2</v>
      </c>
      <c r="K3" s="19">
        <f>'2.SWARA'!F28</f>
        <v>6.8043261179306577E-2</v>
      </c>
    </row>
    <row r="4" spans="1:12" ht="15" customHeight="1" x14ac:dyDescent="0.3">
      <c r="A4" s="1" t="s">
        <v>3</v>
      </c>
      <c r="B4" s="1" t="s">
        <v>33</v>
      </c>
      <c r="C4" s="1" t="s">
        <v>37</v>
      </c>
      <c r="D4" s="1" t="s">
        <v>40</v>
      </c>
      <c r="E4" s="1" t="s">
        <v>43</v>
      </c>
      <c r="F4" s="1" t="s">
        <v>46</v>
      </c>
      <c r="G4" s="1" t="s">
        <v>50</v>
      </c>
      <c r="H4" s="1" t="s">
        <v>53</v>
      </c>
      <c r="I4" s="1" t="s">
        <v>56</v>
      </c>
      <c r="J4" s="1" t="s">
        <v>59</v>
      </c>
      <c r="K4" s="1" t="s">
        <v>62</v>
      </c>
    </row>
    <row r="5" spans="1:12" ht="15" customHeight="1" x14ac:dyDescent="0.3">
      <c r="A5" s="4" t="s">
        <v>7</v>
      </c>
      <c r="B5" s="20">
        <f>'2.SWARA'!F19/20</f>
        <v>5.4792176280942543E-3</v>
      </c>
      <c r="C5" s="20">
        <f>'2.SWARA'!F20/20</f>
        <v>6.3011002723083924E-3</v>
      </c>
      <c r="D5" s="20">
        <f>'2.SWARA'!F21/20</f>
        <v>7.2777708145161935E-3</v>
      </c>
      <c r="E5" s="20">
        <f>'2.SWARA'!F22/20</f>
        <v>6.9312102995392321E-3</v>
      </c>
      <c r="F5" s="20">
        <f>'2.SWARA'!F23/20</f>
        <v>4.9811069346311406E-3</v>
      </c>
      <c r="G5" s="20">
        <f>'2.SWARA'!F24/20</f>
        <v>3.7423793648618622E-3</v>
      </c>
      <c r="H5" s="20">
        <f>'2.SWARA'!F25/20</f>
        <v>4.1166173013480484E-3</v>
      </c>
      <c r="I5" s="20">
        <f>'2.SWARA'!F26/20</f>
        <v>3.240155294252694E-3</v>
      </c>
      <c r="J5" s="20">
        <f>'2.SWARA'!F27/20</f>
        <v>4.5282790314828542E-3</v>
      </c>
      <c r="K5" s="20">
        <f>'2.SWARA'!F28/20</f>
        <v>3.4021630589653289E-3</v>
      </c>
    </row>
    <row r="6" spans="1:12" ht="15" customHeight="1" x14ac:dyDescent="0.3">
      <c r="A6" s="7" t="s">
        <v>8</v>
      </c>
      <c r="B6" s="21">
        <f>'2.SWARA'!F19/20</f>
        <v>5.4792176280942543E-3</v>
      </c>
      <c r="C6" s="21">
        <f>'2.SWARA'!F20/20</f>
        <v>6.3011002723083924E-3</v>
      </c>
      <c r="D6" s="21">
        <f>'2.SWARA'!F21/20</f>
        <v>7.2777708145161935E-3</v>
      </c>
      <c r="E6" s="21">
        <f>'2.SWARA'!F22/20</f>
        <v>6.9312102995392321E-3</v>
      </c>
      <c r="F6" s="21">
        <f>'2.SWARA'!F23/20</f>
        <v>4.9811069346311406E-3</v>
      </c>
      <c r="G6" s="21">
        <f>'2.SWARA'!F24/20</f>
        <v>3.7423793648618622E-3</v>
      </c>
      <c r="H6" s="21">
        <f>'2.SWARA'!F25/20</f>
        <v>4.1166173013480484E-3</v>
      </c>
      <c r="I6" s="21">
        <f>'2.SWARA'!F26/20</f>
        <v>3.240155294252694E-3</v>
      </c>
      <c r="J6" s="21">
        <f>'2.SWARA'!F27/20</f>
        <v>4.5282790314828542E-3</v>
      </c>
      <c r="K6" s="21">
        <f>'2.SWARA'!F28/20</f>
        <v>3.4021630589653289E-3</v>
      </c>
    </row>
    <row r="7" spans="1:12" ht="15" customHeight="1" x14ac:dyDescent="0.3">
      <c r="A7" s="4" t="s">
        <v>9</v>
      </c>
      <c r="B7" s="20">
        <f>'2.SWARA'!F19/20</f>
        <v>5.4792176280942543E-3</v>
      </c>
      <c r="C7" s="20">
        <f>'2.SWARA'!F20/20</f>
        <v>6.3011002723083924E-3</v>
      </c>
      <c r="D7" s="20">
        <f>'2.SWARA'!F21/20</f>
        <v>7.2777708145161935E-3</v>
      </c>
      <c r="E7" s="20">
        <f>'2.SWARA'!F22/20</f>
        <v>6.9312102995392321E-3</v>
      </c>
      <c r="F7" s="20">
        <f>'2.SWARA'!F23/20</f>
        <v>4.9811069346311406E-3</v>
      </c>
      <c r="G7" s="20">
        <f>'2.SWARA'!F24/20</f>
        <v>3.7423793648618622E-3</v>
      </c>
      <c r="H7" s="20">
        <f>'2.SWARA'!F25/20</f>
        <v>4.1166173013480484E-3</v>
      </c>
      <c r="I7" s="20">
        <f>'2.SWARA'!F26/20</f>
        <v>3.240155294252694E-3</v>
      </c>
      <c r="J7" s="20">
        <f>'2.SWARA'!F27/20</f>
        <v>4.5282790314828542E-3</v>
      </c>
      <c r="K7" s="20">
        <f>'2.SWARA'!F28/20</f>
        <v>3.4021630589653289E-3</v>
      </c>
    </row>
    <row r="8" spans="1:12" ht="15" customHeight="1" x14ac:dyDescent="0.3">
      <c r="A8" s="7" t="s">
        <v>10</v>
      </c>
      <c r="B8" s="21">
        <f>'2.SWARA'!F19/20</f>
        <v>5.4792176280942543E-3</v>
      </c>
      <c r="C8" s="21">
        <f>'2.SWARA'!F20/20</f>
        <v>6.3011002723083924E-3</v>
      </c>
      <c r="D8" s="21">
        <f>'2.SWARA'!F21/20</f>
        <v>7.2777708145161935E-3</v>
      </c>
      <c r="E8" s="21">
        <f>'2.SWARA'!F22/20</f>
        <v>6.9312102995392321E-3</v>
      </c>
      <c r="F8" s="21">
        <f>'2.SWARA'!F23/20</f>
        <v>4.9811069346311406E-3</v>
      </c>
      <c r="G8" s="21">
        <f>'2.SWARA'!F24/20</f>
        <v>3.7423793648618622E-3</v>
      </c>
      <c r="H8" s="21">
        <f>'2.SWARA'!F25/20</f>
        <v>4.1166173013480484E-3</v>
      </c>
      <c r="I8" s="21">
        <f>'2.SWARA'!F26/20</f>
        <v>3.240155294252694E-3</v>
      </c>
      <c r="J8" s="21">
        <f>'2.SWARA'!F27/20</f>
        <v>4.5282790314828542E-3</v>
      </c>
      <c r="K8" s="21">
        <f>'2.SWARA'!F28/20</f>
        <v>3.4021630589653289E-3</v>
      </c>
    </row>
    <row r="9" spans="1:12" ht="15" customHeight="1" x14ac:dyDescent="0.3">
      <c r="A9" s="4" t="s">
        <v>11</v>
      </c>
      <c r="B9" s="20">
        <f>'2.SWARA'!F19/20</f>
        <v>5.4792176280942543E-3</v>
      </c>
      <c r="C9" s="20">
        <f>'2.SWARA'!F20/20</f>
        <v>6.3011002723083924E-3</v>
      </c>
      <c r="D9" s="20">
        <f>'2.SWARA'!F21/20</f>
        <v>7.2777708145161935E-3</v>
      </c>
      <c r="E9" s="20">
        <f>'2.SWARA'!F22/20</f>
        <v>6.9312102995392321E-3</v>
      </c>
      <c r="F9" s="20">
        <f>'2.SWARA'!F23/20</f>
        <v>4.9811069346311406E-3</v>
      </c>
      <c r="G9" s="20">
        <f>'2.SWARA'!F24/20</f>
        <v>3.7423793648618622E-3</v>
      </c>
      <c r="H9" s="20">
        <f>'2.SWARA'!F25/20</f>
        <v>4.1166173013480484E-3</v>
      </c>
      <c r="I9" s="20">
        <f>'2.SWARA'!F26/20</f>
        <v>3.240155294252694E-3</v>
      </c>
      <c r="J9" s="20">
        <f>'2.SWARA'!F27/20</f>
        <v>4.5282790314828542E-3</v>
      </c>
      <c r="K9" s="20">
        <f>'2.SWARA'!F28/20</f>
        <v>3.4021630589653289E-3</v>
      </c>
    </row>
    <row r="10" spans="1:12" ht="15" customHeight="1" x14ac:dyDescent="0.3">
      <c r="A10" s="7" t="s">
        <v>12</v>
      </c>
      <c r="B10" s="21">
        <f>'2.SWARA'!F19/20</f>
        <v>5.4792176280942543E-3</v>
      </c>
      <c r="C10" s="21">
        <f>'2.SWARA'!F20/20</f>
        <v>6.3011002723083924E-3</v>
      </c>
      <c r="D10" s="21">
        <f>'2.SWARA'!F21/20</f>
        <v>7.2777708145161935E-3</v>
      </c>
      <c r="E10" s="21">
        <f>'2.SWARA'!F22/20</f>
        <v>6.9312102995392321E-3</v>
      </c>
      <c r="F10" s="21">
        <f>'2.SWARA'!F23/20</f>
        <v>4.9811069346311406E-3</v>
      </c>
      <c r="G10" s="21">
        <f>'2.SWARA'!F24/20</f>
        <v>3.7423793648618622E-3</v>
      </c>
      <c r="H10" s="21">
        <f>'2.SWARA'!F25/20</f>
        <v>4.1166173013480484E-3</v>
      </c>
      <c r="I10" s="21">
        <f>'2.SWARA'!F26/20</f>
        <v>3.240155294252694E-3</v>
      </c>
      <c r="J10" s="21">
        <f>'2.SWARA'!F27/20</f>
        <v>4.5282790314828542E-3</v>
      </c>
      <c r="K10" s="21">
        <f>'2.SWARA'!F28/20</f>
        <v>3.4021630589653289E-3</v>
      </c>
    </row>
    <row r="11" spans="1:12" ht="15" customHeight="1" x14ac:dyDescent="0.3">
      <c r="A11" s="4" t="s">
        <v>13</v>
      </c>
      <c r="B11" s="20">
        <f>'2.SWARA'!F19/20</f>
        <v>5.4792176280942543E-3</v>
      </c>
      <c r="C11" s="20">
        <f>'2.SWARA'!F20/20</f>
        <v>6.3011002723083924E-3</v>
      </c>
      <c r="D11" s="20">
        <f>'2.SWARA'!F21/20</f>
        <v>7.2777708145161935E-3</v>
      </c>
      <c r="E11" s="20">
        <f>'2.SWARA'!F22/20</f>
        <v>6.9312102995392321E-3</v>
      </c>
      <c r="F11" s="20">
        <f>'2.SWARA'!F23/20</f>
        <v>4.9811069346311406E-3</v>
      </c>
      <c r="G11" s="20">
        <f>'2.SWARA'!F24/20</f>
        <v>3.7423793648618622E-3</v>
      </c>
      <c r="H11" s="20">
        <f>'2.SWARA'!F25/20</f>
        <v>4.1166173013480484E-3</v>
      </c>
      <c r="I11" s="20">
        <f>'2.SWARA'!F26/20</f>
        <v>3.240155294252694E-3</v>
      </c>
      <c r="J11" s="20">
        <f>'2.SWARA'!F27/20</f>
        <v>4.5282790314828542E-3</v>
      </c>
      <c r="K11" s="20">
        <f>'2.SWARA'!F28/20</f>
        <v>3.4021630589653289E-3</v>
      </c>
    </row>
    <row r="12" spans="1:12" ht="15" customHeight="1" x14ac:dyDescent="0.3">
      <c r="A12" s="7" t="s">
        <v>14</v>
      </c>
      <c r="B12" s="21">
        <f>'2.SWARA'!F19/20</f>
        <v>5.4792176280942543E-3</v>
      </c>
      <c r="C12" s="21">
        <f>'2.SWARA'!F20/20</f>
        <v>6.3011002723083924E-3</v>
      </c>
      <c r="D12" s="21">
        <f>'2.SWARA'!F21/20</f>
        <v>7.2777708145161935E-3</v>
      </c>
      <c r="E12" s="21">
        <f>'2.SWARA'!F22/20</f>
        <v>6.9312102995392321E-3</v>
      </c>
      <c r="F12" s="21">
        <f>'2.SWARA'!F23/20</f>
        <v>4.9811069346311406E-3</v>
      </c>
      <c r="G12" s="21">
        <f>'2.SWARA'!F24/20</f>
        <v>3.7423793648618622E-3</v>
      </c>
      <c r="H12" s="21">
        <f>'2.SWARA'!F25/20</f>
        <v>4.1166173013480484E-3</v>
      </c>
      <c r="I12" s="21">
        <f>'2.SWARA'!F26/20</f>
        <v>3.240155294252694E-3</v>
      </c>
      <c r="J12" s="21">
        <f>'2.SWARA'!F27/20</f>
        <v>4.5282790314828542E-3</v>
      </c>
      <c r="K12" s="21">
        <f>'2.SWARA'!F28/20</f>
        <v>3.4021630589653289E-3</v>
      </c>
    </row>
    <row r="13" spans="1:12" ht="15" customHeight="1" x14ac:dyDescent="0.3">
      <c r="A13" s="4" t="s">
        <v>15</v>
      </c>
      <c r="B13" s="20">
        <f>'2.SWARA'!F19/20</f>
        <v>5.4792176280942543E-3</v>
      </c>
      <c r="C13" s="20">
        <f>'2.SWARA'!F20/20</f>
        <v>6.3011002723083924E-3</v>
      </c>
      <c r="D13" s="20">
        <f>'2.SWARA'!F21/20</f>
        <v>7.2777708145161935E-3</v>
      </c>
      <c r="E13" s="20">
        <f>'2.SWARA'!F22/20</f>
        <v>6.9312102995392321E-3</v>
      </c>
      <c r="F13" s="20">
        <f>'2.SWARA'!F23/20</f>
        <v>4.9811069346311406E-3</v>
      </c>
      <c r="G13" s="20">
        <f>'2.SWARA'!F24/20</f>
        <v>3.7423793648618622E-3</v>
      </c>
      <c r="H13" s="20">
        <f>'2.SWARA'!F25/20</f>
        <v>4.1166173013480484E-3</v>
      </c>
      <c r="I13" s="20">
        <f>'2.SWARA'!F26/20</f>
        <v>3.240155294252694E-3</v>
      </c>
      <c r="J13" s="20">
        <f>'2.SWARA'!F27/20</f>
        <v>4.5282790314828542E-3</v>
      </c>
      <c r="K13" s="20">
        <f>'2.SWARA'!F28/20</f>
        <v>3.4021630589653289E-3</v>
      </c>
    </row>
    <row r="14" spans="1:12" ht="15" customHeight="1" x14ac:dyDescent="0.3">
      <c r="A14" s="7" t="s">
        <v>16</v>
      </c>
      <c r="B14" s="21">
        <f>'2.SWARA'!F19/20</f>
        <v>5.4792176280942543E-3</v>
      </c>
      <c r="C14" s="21">
        <f>'2.SWARA'!F20/20</f>
        <v>6.3011002723083924E-3</v>
      </c>
      <c r="D14" s="21">
        <f>'2.SWARA'!F21/20</f>
        <v>7.2777708145161935E-3</v>
      </c>
      <c r="E14" s="21">
        <f>'2.SWARA'!F22/20</f>
        <v>6.9312102995392321E-3</v>
      </c>
      <c r="F14" s="21">
        <f>'2.SWARA'!F23/20</f>
        <v>4.9811069346311406E-3</v>
      </c>
      <c r="G14" s="21">
        <f>'2.SWARA'!F24/20</f>
        <v>3.7423793648618622E-3</v>
      </c>
      <c r="H14" s="21">
        <f>'2.SWARA'!F25/20</f>
        <v>4.1166173013480484E-3</v>
      </c>
      <c r="I14" s="21">
        <f>'2.SWARA'!F26/20</f>
        <v>3.240155294252694E-3</v>
      </c>
      <c r="J14" s="21">
        <f>'2.SWARA'!F27/20</f>
        <v>4.5282790314828542E-3</v>
      </c>
      <c r="K14" s="21">
        <f>'2.SWARA'!F28/20</f>
        <v>3.4021630589653289E-3</v>
      </c>
    </row>
    <row r="15" spans="1:12" ht="15" customHeight="1" x14ac:dyDescent="0.3">
      <c r="A15" s="4" t="s">
        <v>17</v>
      </c>
      <c r="B15" s="20">
        <f>'2.SWARA'!F19/20</f>
        <v>5.4792176280942543E-3</v>
      </c>
      <c r="C15" s="20">
        <f>'2.SWARA'!F20/20</f>
        <v>6.3011002723083924E-3</v>
      </c>
      <c r="D15" s="20">
        <f>'2.SWARA'!F21/20</f>
        <v>7.2777708145161935E-3</v>
      </c>
      <c r="E15" s="20">
        <f>'2.SWARA'!F22/20</f>
        <v>6.9312102995392321E-3</v>
      </c>
      <c r="F15" s="20">
        <f>'2.SWARA'!F23/20</f>
        <v>4.9811069346311406E-3</v>
      </c>
      <c r="G15" s="20">
        <f>'2.SWARA'!F24/20</f>
        <v>3.7423793648618622E-3</v>
      </c>
      <c r="H15" s="20">
        <f>'2.SWARA'!F25/20</f>
        <v>4.1166173013480484E-3</v>
      </c>
      <c r="I15" s="20">
        <f>'2.SWARA'!F26/20</f>
        <v>3.240155294252694E-3</v>
      </c>
      <c r="J15" s="20">
        <f>'2.SWARA'!F27/20</f>
        <v>4.5282790314828542E-3</v>
      </c>
      <c r="K15" s="20">
        <f>'2.SWARA'!F28/20</f>
        <v>3.4021630589653289E-3</v>
      </c>
    </row>
    <row r="16" spans="1:12" ht="15" customHeight="1" x14ac:dyDescent="0.3">
      <c r="A16" s="7" t="s">
        <v>18</v>
      </c>
      <c r="B16" s="21">
        <f>'2.SWARA'!F19/20</f>
        <v>5.4792176280942543E-3</v>
      </c>
      <c r="C16" s="21">
        <f>'2.SWARA'!F20/20</f>
        <v>6.3011002723083924E-3</v>
      </c>
      <c r="D16" s="21">
        <f>'2.SWARA'!F21/20</f>
        <v>7.2777708145161935E-3</v>
      </c>
      <c r="E16" s="21">
        <f>'2.SWARA'!F22/20</f>
        <v>6.9312102995392321E-3</v>
      </c>
      <c r="F16" s="21">
        <f>'2.SWARA'!F23/20</f>
        <v>4.9811069346311406E-3</v>
      </c>
      <c r="G16" s="21">
        <f>'2.SWARA'!F24/20</f>
        <v>3.7423793648618622E-3</v>
      </c>
      <c r="H16" s="21">
        <f>'2.SWARA'!F25/20</f>
        <v>4.1166173013480484E-3</v>
      </c>
      <c r="I16" s="21">
        <f>'2.SWARA'!F26/20</f>
        <v>3.240155294252694E-3</v>
      </c>
      <c r="J16" s="21">
        <f>'2.SWARA'!F27/20</f>
        <v>4.5282790314828542E-3</v>
      </c>
      <c r="K16" s="21">
        <f>'2.SWARA'!F28/20</f>
        <v>3.4021630589653289E-3</v>
      </c>
    </row>
    <row r="17" spans="1:11" ht="15" customHeight="1" x14ac:dyDescent="0.3">
      <c r="A17" s="4" t="s">
        <v>19</v>
      </c>
      <c r="B17" s="20">
        <f>'2.SWARA'!F19/20</f>
        <v>5.4792176280942543E-3</v>
      </c>
      <c r="C17" s="20">
        <f>'2.SWARA'!F20/20</f>
        <v>6.3011002723083924E-3</v>
      </c>
      <c r="D17" s="20">
        <f>'2.SWARA'!F21/20</f>
        <v>7.2777708145161935E-3</v>
      </c>
      <c r="E17" s="20">
        <f>'2.SWARA'!F22/20</f>
        <v>6.9312102995392321E-3</v>
      </c>
      <c r="F17" s="20">
        <f>'2.SWARA'!F23/20</f>
        <v>4.9811069346311406E-3</v>
      </c>
      <c r="G17" s="20">
        <f>'2.SWARA'!F24/20</f>
        <v>3.7423793648618622E-3</v>
      </c>
      <c r="H17" s="20">
        <f>'2.SWARA'!F25/20</f>
        <v>4.1166173013480484E-3</v>
      </c>
      <c r="I17" s="20">
        <f>'2.SWARA'!F26/20</f>
        <v>3.240155294252694E-3</v>
      </c>
      <c r="J17" s="20">
        <f>'2.SWARA'!F27/20</f>
        <v>4.5282790314828542E-3</v>
      </c>
      <c r="K17" s="20">
        <f>'2.SWARA'!F28/20</f>
        <v>3.4021630589653289E-3</v>
      </c>
    </row>
    <row r="18" spans="1:11" ht="15" customHeight="1" x14ac:dyDescent="0.3">
      <c r="A18" s="7" t="s">
        <v>20</v>
      </c>
      <c r="B18" s="21">
        <f>'2.SWARA'!F19/20</f>
        <v>5.4792176280942543E-3</v>
      </c>
      <c r="C18" s="21">
        <f>'2.SWARA'!F20/20</f>
        <v>6.3011002723083924E-3</v>
      </c>
      <c r="D18" s="21">
        <f>'2.SWARA'!F21/20</f>
        <v>7.2777708145161935E-3</v>
      </c>
      <c r="E18" s="21">
        <f>'2.SWARA'!F22/20</f>
        <v>6.9312102995392321E-3</v>
      </c>
      <c r="F18" s="21">
        <f>'2.SWARA'!F23/20</f>
        <v>4.9811069346311406E-3</v>
      </c>
      <c r="G18" s="21">
        <f>'2.SWARA'!F24/20</f>
        <v>3.7423793648618622E-3</v>
      </c>
      <c r="H18" s="21">
        <f>'2.SWARA'!F25/20</f>
        <v>4.1166173013480484E-3</v>
      </c>
      <c r="I18" s="21">
        <f>'2.SWARA'!F26/20</f>
        <v>3.240155294252694E-3</v>
      </c>
      <c r="J18" s="21">
        <f>'2.SWARA'!F27/20</f>
        <v>4.5282790314828542E-3</v>
      </c>
      <c r="K18" s="21">
        <f>'2.SWARA'!F28/20</f>
        <v>3.4021630589653289E-3</v>
      </c>
    </row>
    <row r="19" spans="1:11" ht="15" customHeight="1" x14ac:dyDescent="0.3">
      <c r="A19" s="4" t="s">
        <v>21</v>
      </c>
      <c r="B19" s="20">
        <f>'2.SWARA'!F19/20</f>
        <v>5.4792176280942543E-3</v>
      </c>
      <c r="C19" s="20">
        <f>'2.SWARA'!F20/20</f>
        <v>6.3011002723083924E-3</v>
      </c>
      <c r="D19" s="20">
        <f>'2.SWARA'!F21/20</f>
        <v>7.2777708145161935E-3</v>
      </c>
      <c r="E19" s="20">
        <f>'2.SWARA'!F22/20</f>
        <v>6.9312102995392321E-3</v>
      </c>
      <c r="F19" s="20">
        <f>'2.SWARA'!F23/20</f>
        <v>4.9811069346311406E-3</v>
      </c>
      <c r="G19" s="20">
        <f>'2.SWARA'!F24/20</f>
        <v>3.7423793648618622E-3</v>
      </c>
      <c r="H19" s="20">
        <f>'2.SWARA'!F25/20</f>
        <v>4.1166173013480484E-3</v>
      </c>
      <c r="I19" s="20">
        <f>'2.SWARA'!F26/20</f>
        <v>3.240155294252694E-3</v>
      </c>
      <c r="J19" s="20">
        <f>'2.SWARA'!F27/20</f>
        <v>4.5282790314828542E-3</v>
      </c>
      <c r="K19" s="20">
        <f>'2.SWARA'!F28/20</f>
        <v>3.4021630589653289E-3</v>
      </c>
    </row>
    <row r="20" spans="1:11" x14ac:dyDescent="0.3">
      <c r="A20" s="7" t="s">
        <v>22</v>
      </c>
      <c r="B20" s="21">
        <f>'2.SWARA'!F19/20</f>
        <v>5.4792176280942543E-3</v>
      </c>
      <c r="C20" s="21">
        <f>'2.SWARA'!F20/20</f>
        <v>6.3011002723083924E-3</v>
      </c>
      <c r="D20" s="21">
        <f>'2.SWARA'!F21/20</f>
        <v>7.2777708145161935E-3</v>
      </c>
      <c r="E20" s="21">
        <f>'2.SWARA'!F22/20</f>
        <v>6.9312102995392321E-3</v>
      </c>
      <c r="F20" s="21">
        <f>'2.SWARA'!F23/20</f>
        <v>4.9811069346311406E-3</v>
      </c>
      <c r="G20" s="21">
        <f>'2.SWARA'!F24/20</f>
        <v>3.7423793648618622E-3</v>
      </c>
      <c r="H20" s="21">
        <f>'2.SWARA'!F25/20</f>
        <v>4.1166173013480484E-3</v>
      </c>
      <c r="I20" s="21">
        <f>'2.SWARA'!F26/20</f>
        <v>3.240155294252694E-3</v>
      </c>
      <c r="J20" s="21">
        <f>'2.SWARA'!F27/20</f>
        <v>4.5282790314828542E-3</v>
      </c>
      <c r="K20" s="21">
        <f>'2.SWARA'!F28/20</f>
        <v>3.4021630589653289E-3</v>
      </c>
    </row>
    <row r="21" spans="1:11" x14ac:dyDescent="0.3">
      <c r="A21" s="4" t="s">
        <v>23</v>
      </c>
      <c r="B21" s="20">
        <f>'2.SWARA'!F19/20</f>
        <v>5.4792176280942543E-3</v>
      </c>
      <c r="C21" s="20">
        <f>'2.SWARA'!F20/20</f>
        <v>6.3011002723083924E-3</v>
      </c>
      <c r="D21" s="20">
        <f>'2.SWARA'!F21/20</f>
        <v>7.2777708145161935E-3</v>
      </c>
      <c r="E21" s="20">
        <f>'2.SWARA'!F22/20</f>
        <v>6.9312102995392321E-3</v>
      </c>
      <c r="F21" s="20">
        <f>'2.SWARA'!F23/20</f>
        <v>4.9811069346311406E-3</v>
      </c>
      <c r="G21" s="20">
        <f>'2.SWARA'!F24/20</f>
        <v>3.7423793648618622E-3</v>
      </c>
      <c r="H21" s="20">
        <f>'2.SWARA'!F25/20</f>
        <v>4.1166173013480484E-3</v>
      </c>
      <c r="I21" s="20">
        <f>'2.SWARA'!F26/20</f>
        <v>3.240155294252694E-3</v>
      </c>
      <c r="J21" s="20">
        <f>'2.SWARA'!F27/20</f>
        <v>4.5282790314828542E-3</v>
      </c>
      <c r="K21" s="20">
        <f>'2.SWARA'!F28/20</f>
        <v>3.4021630589653289E-3</v>
      </c>
    </row>
    <row r="22" spans="1:11" x14ac:dyDescent="0.3">
      <c r="A22" s="7" t="s">
        <v>24</v>
      </c>
      <c r="B22" s="21">
        <f>'2.SWARA'!F19/20</f>
        <v>5.4792176280942543E-3</v>
      </c>
      <c r="C22" s="21">
        <f>'2.SWARA'!F20/20</f>
        <v>6.3011002723083924E-3</v>
      </c>
      <c r="D22" s="21">
        <f>'2.SWARA'!F21/20</f>
        <v>7.2777708145161935E-3</v>
      </c>
      <c r="E22" s="21">
        <f>'2.SWARA'!F22/20</f>
        <v>6.9312102995392321E-3</v>
      </c>
      <c r="F22" s="21">
        <f>'2.SWARA'!F23/20</f>
        <v>4.9811069346311406E-3</v>
      </c>
      <c r="G22" s="21">
        <f>'2.SWARA'!F24/20</f>
        <v>3.7423793648618622E-3</v>
      </c>
      <c r="H22" s="21">
        <f>'2.SWARA'!F25/20</f>
        <v>4.1166173013480484E-3</v>
      </c>
      <c r="I22" s="21">
        <f>'2.SWARA'!F26/20</f>
        <v>3.240155294252694E-3</v>
      </c>
      <c r="J22" s="21">
        <f>'2.SWARA'!F27/20</f>
        <v>4.5282790314828542E-3</v>
      </c>
      <c r="K22" s="21">
        <f>'2.SWARA'!F28/20</f>
        <v>3.4021630589653289E-3</v>
      </c>
    </row>
    <row r="23" spans="1:11" x14ac:dyDescent="0.3">
      <c r="A23" s="4" t="s">
        <v>25</v>
      </c>
      <c r="B23" s="20">
        <f>'2.SWARA'!F19/20</f>
        <v>5.4792176280942543E-3</v>
      </c>
      <c r="C23" s="20">
        <f>'2.SWARA'!F20/20</f>
        <v>6.3011002723083924E-3</v>
      </c>
      <c r="D23" s="20">
        <f>'2.SWARA'!F21/20</f>
        <v>7.2777708145161935E-3</v>
      </c>
      <c r="E23" s="20">
        <f>'2.SWARA'!F22/20</f>
        <v>6.9312102995392321E-3</v>
      </c>
      <c r="F23" s="20">
        <f>'2.SWARA'!F23/20</f>
        <v>4.9811069346311406E-3</v>
      </c>
      <c r="G23" s="20">
        <f>'2.SWARA'!F24/20</f>
        <v>3.7423793648618622E-3</v>
      </c>
      <c r="H23" s="20">
        <f>'2.SWARA'!F25/20</f>
        <v>4.1166173013480484E-3</v>
      </c>
      <c r="I23" s="20">
        <f>'2.SWARA'!F26/20</f>
        <v>3.240155294252694E-3</v>
      </c>
      <c r="J23" s="20">
        <f>'2.SWARA'!F27/20</f>
        <v>4.5282790314828542E-3</v>
      </c>
      <c r="K23" s="20">
        <f>'2.SWARA'!F28/20</f>
        <v>3.4021630589653289E-3</v>
      </c>
    </row>
    <row r="24" spans="1:11" x14ac:dyDescent="0.3">
      <c r="A24" s="7" t="s">
        <v>26</v>
      </c>
      <c r="B24" s="21">
        <f>'2.SWARA'!F19/20</f>
        <v>5.4792176280942543E-3</v>
      </c>
      <c r="C24" s="21">
        <f>'2.SWARA'!F20/20</f>
        <v>6.3011002723083924E-3</v>
      </c>
      <c r="D24" s="21">
        <f>'2.SWARA'!F21/20</f>
        <v>7.2777708145161935E-3</v>
      </c>
      <c r="E24" s="21">
        <f>'2.SWARA'!F22/20</f>
        <v>6.9312102995392321E-3</v>
      </c>
      <c r="F24" s="21">
        <f>'2.SWARA'!F23/20</f>
        <v>4.9811069346311406E-3</v>
      </c>
      <c r="G24" s="21">
        <f>'2.SWARA'!F24/20</f>
        <v>3.7423793648618622E-3</v>
      </c>
      <c r="H24" s="21">
        <f>'2.SWARA'!F25/20</f>
        <v>4.1166173013480484E-3</v>
      </c>
      <c r="I24" s="21">
        <f>'2.SWARA'!F26/20</f>
        <v>3.240155294252694E-3</v>
      </c>
      <c r="J24" s="21">
        <f>'2.SWARA'!F27/20</f>
        <v>4.5282790314828542E-3</v>
      </c>
      <c r="K24" s="21">
        <f>'2.SWARA'!F28/20</f>
        <v>3.4021630589653289E-3</v>
      </c>
    </row>
  </sheetData>
  <mergeCells count="2">
    <mergeCell ref="A2:L2"/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3"/>
  <sheetViews>
    <sheetView showGridLines="0" topLeftCell="A4" zoomScaleNormal="100" workbookViewId="0">
      <selection sqref="A1:L1"/>
    </sheetView>
  </sheetViews>
  <sheetFormatPr defaultColWidth="8.6640625" defaultRowHeight="14.4" x14ac:dyDescent="0.3"/>
  <cols>
    <col min="1" max="1" width="13" customWidth="1"/>
    <col min="2" max="12" width="14" customWidth="1"/>
  </cols>
  <sheetData>
    <row r="1" spans="1:12" ht="15" customHeight="1" x14ac:dyDescent="0.3">
      <c r="A1" s="59" t="s">
        <v>96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8"/>
    </row>
    <row r="2" spans="1:12" ht="15" customHeight="1" x14ac:dyDescent="0.3">
      <c r="A2" s="56" t="s">
        <v>97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2" ht="15" customHeight="1" x14ac:dyDescent="0.3">
      <c r="A3" s="1" t="s">
        <v>3</v>
      </c>
      <c r="B3" s="1" t="s">
        <v>33</v>
      </c>
      <c r="C3" s="1" t="s">
        <v>37</v>
      </c>
      <c r="D3" s="1" t="s">
        <v>40</v>
      </c>
      <c r="E3" s="1" t="s">
        <v>43</v>
      </c>
      <c r="F3" s="1" t="s">
        <v>46</v>
      </c>
      <c r="G3" s="1" t="s">
        <v>50</v>
      </c>
      <c r="H3" s="1" t="s">
        <v>53</v>
      </c>
      <c r="I3" s="1" t="s">
        <v>56</v>
      </c>
      <c r="J3" s="1" t="s">
        <v>59</v>
      </c>
      <c r="K3" s="1" t="s">
        <v>62</v>
      </c>
    </row>
    <row r="4" spans="1:12" ht="15" customHeight="1" x14ac:dyDescent="0.3">
      <c r="A4" s="4" t="s">
        <v>7</v>
      </c>
      <c r="B4" s="20">
        <f>'4.Pref.Teoritis'!B5*'3.Normalisasi'!B6</f>
        <v>5.4792176280942543E-3</v>
      </c>
      <c r="C4" s="20">
        <f>'4.Pref.Teoritis'!C5*'3.Normalisasi'!C6</f>
        <v>2.1003667574361305E-3</v>
      </c>
      <c r="D4" s="20">
        <f>'4.Pref.Teoritis'!D5*'3.Normalisasi'!D6</f>
        <v>7.2777708145161935E-3</v>
      </c>
      <c r="E4" s="20">
        <f>'4.Pref.Teoritis'!E5*'3.Normalisasi'!E6</f>
        <v>6.9312102995392321E-3</v>
      </c>
      <c r="F4" s="20">
        <f>'4.Pref.Teoritis'!F5*'3.Normalisasi'!F6</f>
        <v>4.9811069346311406E-3</v>
      </c>
      <c r="G4" s="20">
        <f>'4.Pref.Teoritis'!G5*'3.Normalisasi'!G6</f>
        <v>3.7423793648618622E-3</v>
      </c>
      <c r="H4" s="20">
        <f>'4.Pref.Teoritis'!H5*'3.Normalisasi'!H6</f>
        <v>0</v>
      </c>
      <c r="I4" s="20">
        <f>'4.Pref.Teoritis'!I5*'3.Normalisasi'!I6</f>
        <v>3.240155294252694E-3</v>
      </c>
      <c r="J4" s="20">
        <f>'4.Pref.Teoritis'!J5*'3.Normalisasi'!J6</f>
        <v>1.1320697578707135E-3</v>
      </c>
      <c r="K4" s="20">
        <f>'4.Pref.Teoritis'!K5*'3.Normalisasi'!K6</f>
        <v>1.7010815294826644E-3</v>
      </c>
    </row>
    <row r="5" spans="1:12" ht="15" customHeight="1" x14ac:dyDescent="0.3">
      <c r="A5" s="7" t="s">
        <v>8</v>
      </c>
      <c r="B5" s="21">
        <f>'4.Pref.Teoritis'!B6*'3.Normalisasi'!B7</f>
        <v>5.4792176280942543E-3</v>
      </c>
      <c r="C5" s="21">
        <f>'4.Pref.Teoritis'!C6*'3.Normalisasi'!C7</f>
        <v>2.1003667574361305E-3</v>
      </c>
      <c r="D5" s="21">
        <f>'4.Pref.Teoritis'!D6*'3.Normalisasi'!D7</f>
        <v>0</v>
      </c>
      <c r="E5" s="21">
        <f>'4.Pref.Teoritis'!E6*'3.Normalisasi'!E7</f>
        <v>0</v>
      </c>
      <c r="F5" s="21">
        <f>'4.Pref.Teoritis'!F6*'3.Normalisasi'!F7</f>
        <v>2.4905534673155703E-3</v>
      </c>
      <c r="G5" s="21">
        <f>'4.Pref.Teoritis'!G6*'3.Normalisasi'!G7</f>
        <v>3.7423793648618622E-3</v>
      </c>
      <c r="H5" s="21">
        <f>'4.Pref.Teoritis'!H6*'3.Normalisasi'!H7</f>
        <v>4.1166173013480484E-3</v>
      </c>
      <c r="I5" s="21">
        <f>'4.Pref.Teoritis'!I6*'3.Normalisasi'!I7</f>
        <v>3.240155294252694E-3</v>
      </c>
      <c r="J5" s="21">
        <f>'4.Pref.Teoritis'!J6*'3.Normalisasi'!J7</f>
        <v>4.5282790314828542E-3</v>
      </c>
      <c r="K5" s="21">
        <f>'4.Pref.Teoritis'!K6*'3.Normalisasi'!K7</f>
        <v>1.7010815294826644E-3</v>
      </c>
    </row>
    <row r="6" spans="1:12" ht="15" customHeight="1" x14ac:dyDescent="0.3">
      <c r="A6" s="4" t="s">
        <v>9</v>
      </c>
      <c r="B6" s="20">
        <f>'4.Pref.Teoritis'!B7*'3.Normalisasi'!B8</f>
        <v>5.4792176280942543E-3</v>
      </c>
      <c r="C6" s="20">
        <f>'4.Pref.Teoritis'!C7*'3.Normalisasi'!C8</f>
        <v>4.200733514872261E-3</v>
      </c>
      <c r="D6" s="20">
        <f>'4.Pref.Teoritis'!D7*'3.Normalisasi'!D8</f>
        <v>7.2777708145161935E-3</v>
      </c>
      <c r="E6" s="20">
        <f>'4.Pref.Teoritis'!E7*'3.Normalisasi'!E8</f>
        <v>6.9312102995392321E-3</v>
      </c>
      <c r="F6" s="20">
        <f>'4.Pref.Teoritis'!F7*'3.Normalisasi'!F8</f>
        <v>2.4905534673155703E-3</v>
      </c>
      <c r="G6" s="20">
        <f>'4.Pref.Teoritis'!G7*'3.Normalisasi'!G8</f>
        <v>3.7423793648618622E-3</v>
      </c>
      <c r="H6" s="20">
        <f>'4.Pref.Teoritis'!H7*'3.Normalisasi'!H8</f>
        <v>4.1166173013480484E-3</v>
      </c>
      <c r="I6" s="20">
        <f>'4.Pref.Teoritis'!I7*'3.Normalisasi'!I8</f>
        <v>3.240155294252694E-3</v>
      </c>
      <c r="J6" s="20">
        <f>'4.Pref.Teoritis'!J7*'3.Normalisasi'!J8</f>
        <v>1.1320697578707135E-3</v>
      </c>
      <c r="K6" s="20">
        <f>'4.Pref.Teoritis'!K7*'3.Normalisasi'!K8</f>
        <v>3.4021630589653289E-3</v>
      </c>
    </row>
    <row r="7" spans="1:12" ht="15" customHeight="1" x14ac:dyDescent="0.3">
      <c r="A7" s="7" t="s">
        <v>10</v>
      </c>
      <c r="B7" s="21">
        <f>'4.Pref.Teoritis'!B8*'3.Normalisasi'!B9</f>
        <v>5.4792176280942543E-3</v>
      </c>
      <c r="C7" s="21">
        <f>'4.Pref.Teoritis'!C8*'3.Normalisasi'!C9</f>
        <v>0</v>
      </c>
      <c r="D7" s="21">
        <f>'4.Pref.Teoritis'!D8*'3.Normalisasi'!D9</f>
        <v>0</v>
      </c>
      <c r="E7" s="21">
        <f>'4.Pref.Teoritis'!E8*'3.Normalisasi'!E9</f>
        <v>0</v>
      </c>
      <c r="F7" s="21">
        <f>'4.Pref.Teoritis'!F8*'3.Normalisasi'!F9</f>
        <v>3.7358302009733555E-3</v>
      </c>
      <c r="G7" s="21">
        <f>'4.Pref.Teoritis'!G8*'3.Normalisasi'!G9</f>
        <v>3.7423793648618622E-3</v>
      </c>
      <c r="H7" s="21">
        <f>'4.Pref.Teoritis'!H8*'3.Normalisasi'!H9</f>
        <v>0</v>
      </c>
      <c r="I7" s="21">
        <f>'4.Pref.Teoritis'!I8*'3.Normalisasi'!I9</f>
        <v>3.240155294252694E-3</v>
      </c>
      <c r="J7" s="21">
        <f>'4.Pref.Teoritis'!J8*'3.Normalisasi'!J9</f>
        <v>1.1320697578707135E-3</v>
      </c>
      <c r="K7" s="21">
        <f>'4.Pref.Teoritis'!K8*'3.Normalisasi'!K9</f>
        <v>1.7010815294826644E-3</v>
      </c>
    </row>
    <row r="8" spans="1:12" ht="15" customHeight="1" x14ac:dyDescent="0.3">
      <c r="A8" s="4" t="s">
        <v>11</v>
      </c>
      <c r="B8" s="20">
        <f>'4.Pref.Teoritis'!B9*'3.Normalisasi'!B10</f>
        <v>5.4792176280942543E-3</v>
      </c>
      <c r="C8" s="20">
        <f>'4.Pref.Teoritis'!C9*'3.Normalisasi'!C10</f>
        <v>2.1003667574361305E-3</v>
      </c>
      <c r="D8" s="20">
        <f>'4.Pref.Teoritis'!D9*'3.Normalisasi'!D10</f>
        <v>7.2777708145161935E-3</v>
      </c>
      <c r="E8" s="20">
        <f>'4.Pref.Teoritis'!E9*'3.Normalisasi'!E10</f>
        <v>6.9312102995392321E-3</v>
      </c>
      <c r="F8" s="20">
        <f>'4.Pref.Teoritis'!F9*'3.Normalisasi'!F10</f>
        <v>2.4905534673155703E-3</v>
      </c>
      <c r="G8" s="20">
        <f>'4.Pref.Teoritis'!G9*'3.Normalisasi'!G10</f>
        <v>2.4949195765745745E-3</v>
      </c>
      <c r="H8" s="20">
        <f>'4.Pref.Teoritis'!H9*'3.Normalisasi'!H10</f>
        <v>0</v>
      </c>
      <c r="I8" s="20">
        <f>'4.Pref.Teoritis'!I9*'3.Normalisasi'!I10</f>
        <v>3.240155294252694E-3</v>
      </c>
      <c r="J8" s="20">
        <f>'4.Pref.Teoritis'!J9*'3.Normalisasi'!J10</f>
        <v>4.5282790314828542E-3</v>
      </c>
      <c r="K8" s="20">
        <f>'4.Pref.Teoritis'!K9*'3.Normalisasi'!K10</f>
        <v>1.7010815294826644E-3</v>
      </c>
    </row>
    <row r="9" spans="1:12" ht="15" customHeight="1" x14ac:dyDescent="0.3">
      <c r="A9" s="7" t="s">
        <v>12</v>
      </c>
      <c r="B9" s="21">
        <f>'4.Pref.Teoritis'!B10*'3.Normalisasi'!B11</f>
        <v>5.4792176280942543E-3</v>
      </c>
      <c r="C9" s="21">
        <f>'4.Pref.Teoritis'!C10*'3.Normalisasi'!C11</f>
        <v>4.200733514872261E-3</v>
      </c>
      <c r="D9" s="21">
        <f>'4.Pref.Teoritis'!D10*'3.Normalisasi'!D11</f>
        <v>0</v>
      </c>
      <c r="E9" s="21">
        <f>'4.Pref.Teoritis'!E10*'3.Normalisasi'!E11</f>
        <v>0</v>
      </c>
      <c r="F9" s="21">
        <f>'4.Pref.Teoritis'!F10*'3.Normalisasi'!F11</f>
        <v>0</v>
      </c>
      <c r="G9" s="21">
        <f>'4.Pref.Teoritis'!G10*'3.Normalisasi'!G11</f>
        <v>3.7423793648618622E-3</v>
      </c>
      <c r="H9" s="21">
        <f>'4.Pref.Teoritis'!H10*'3.Normalisasi'!H11</f>
        <v>0</v>
      </c>
      <c r="I9" s="21">
        <f>'4.Pref.Teoritis'!I10*'3.Normalisasi'!I11</f>
        <v>3.240155294252694E-3</v>
      </c>
      <c r="J9" s="21">
        <f>'4.Pref.Teoritis'!J10*'3.Normalisasi'!J11</f>
        <v>1.1320697578707135E-3</v>
      </c>
      <c r="K9" s="21">
        <f>'4.Pref.Teoritis'!K10*'3.Normalisasi'!K11</f>
        <v>1.7010815294826644E-3</v>
      </c>
    </row>
    <row r="10" spans="1:12" ht="15" customHeight="1" x14ac:dyDescent="0.3">
      <c r="A10" s="4" t="s">
        <v>13</v>
      </c>
      <c r="B10" s="20">
        <f>'4.Pref.Teoritis'!B11*'3.Normalisasi'!B12</f>
        <v>5.4792176280942543E-3</v>
      </c>
      <c r="C10" s="20">
        <f>'4.Pref.Teoritis'!C11*'3.Normalisasi'!C12</f>
        <v>2.1003667574361305E-3</v>
      </c>
      <c r="D10" s="20">
        <f>'4.Pref.Teoritis'!D11*'3.Normalisasi'!D12</f>
        <v>0</v>
      </c>
      <c r="E10" s="20">
        <f>'4.Pref.Teoritis'!E11*'3.Normalisasi'!E12</f>
        <v>0</v>
      </c>
      <c r="F10" s="20">
        <f>'4.Pref.Teoritis'!F11*'3.Normalisasi'!F12</f>
        <v>4.9811069346311406E-3</v>
      </c>
      <c r="G10" s="20">
        <f>'4.Pref.Teoritis'!G11*'3.Normalisasi'!G12</f>
        <v>3.7423793648618622E-3</v>
      </c>
      <c r="H10" s="20">
        <f>'4.Pref.Teoritis'!H11*'3.Normalisasi'!H12</f>
        <v>0</v>
      </c>
      <c r="I10" s="20">
        <f>'4.Pref.Teoritis'!I11*'3.Normalisasi'!I12</f>
        <v>3.240155294252694E-3</v>
      </c>
      <c r="J10" s="20">
        <f>'4.Pref.Teoritis'!J11*'3.Normalisasi'!J12</f>
        <v>3.3962092736121406E-3</v>
      </c>
      <c r="K10" s="20">
        <f>'4.Pref.Teoritis'!K11*'3.Normalisasi'!K12</f>
        <v>1.7010815294826644E-3</v>
      </c>
    </row>
    <row r="11" spans="1:12" ht="15" customHeight="1" x14ac:dyDescent="0.3">
      <c r="A11" s="7" t="s">
        <v>14</v>
      </c>
      <c r="B11" s="21">
        <f>'4.Pref.Teoritis'!B12*'3.Normalisasi'!B13</f>
        <v>0</v>
      </c>
      <c r="C11" s="21">
        <f>'4.Pref.Teoritis'!C12*'3.Normalisasi'!C13</f>
        <v>2.1003667574361305E-3</v>
      </c>
      <c r="D11" s="21">
        <f>'4.Pref.Teoritis'!D12*'3.Normalisasi'!D13</f>
        <v>7.2777708145161935E-3</v>
      </c>
      <c r="E11" s="21">
        <f>'4.Pref.Teoritis'!E12*'3.Normalisasi'!E13</f>
        <v>6.9312102995392321E-3</v>
      </c>
      <c r="F11" s="21">
        <f>'4.Pref.Teoritis'!F12*'3.Normalisasi'!F13</f>
        <v>0</v>
      </c>
      <c r="G11" s="21">
        <f>'4.Pref.Teoritis'!G12*'3.Normalisasi'!G13</f>
        <v>3.7423793648618622E-3</v>
      </c>
      <c r="H11" s="21">
        <f>'4.Pref.Teoritis'!H12*'3.Normalisasi'!H13</f>
        <v>1.3722057671160161E-3</v>
      </c>
      <c r="I11" s="21">
        <f>'4.Pref.Teoritis'!I12*'3.Normalisasi'!I13</f>
        <v>3.240155294252694E-3</v>
      </c>
      <c r="J11" s="21">
        <f>'4.Pref.Teoritis'!J12*'3.Normalisasi'!J13</f>
        <v>2.2641395157414271E-3</v>
      </c>
      <c r="K11" s="21">
        <f>'4.Pref.Teoritis'!K12*'3.Normalisasi'!K13</f>
        <v>0</v>
      </c>
    </row>
    <row r="12" spans="1:12" ht="15" customHeight="1" x14ac:dyDescent="0.3">
      <c r="A12" s="4" t="s">
        <v>15</v>
      </c>
      <c r="B12" s="20">
        <f>'4.Pref.Teoritis'!B13*'3.Normalisasi'!B14</f>
        <v>5.4792176280942543E-3</v>
      </c>
      <c r="C12" s="20">
        <f>'4.Pref.Teoritis'!C13*'3.Normalisasi'!C14</f>
        <v>2.1003667574361305E-3</v>
      </c>
      <c r="D12" s="20">
        <f>'4.Pref.Teoritis'!D13*'3.Normalisasi'!D14</f>
        <v>0</v>
      </c>
      <c r="E12" s="20">
        <f>'4.Pref.Teoritis'!E13*'3.Normalisasi'!E14</f>
        <v>6.9312102995392321E-3</v>
      </c>
      <c r="F12" s="20">
        <f>'4.Pref.Teoritis'!F13*'3.Normalisasi'!F14</f>
        <v>2.4905534673155703E-3</v>
      </c>
      <c r="G12" s="20">
        <f>'4.Pref.Teoritis'!G13*'3.Normalisasi'!G14</f>
        <v>3.7423793648618622E-3</v>
      </c>
      <c r="H12" s="20">
        <f>'4.Pref.Teoritis'!H13*'3.Normalisasi'!H14</f>
        <v>0</v>
      </c>
      <c r="I12" s="20">
        <f>'4.Pref.Teoritis'!I13*'3.Normalisasi'!I14</f>
        <v>3.240155294252694E-3</v>
      </c>
      <c r="J12" s="20">
        <f>'4.Pref.Teoritis'!J13*'3.Normalisasi'!J14</f>
        <v>1.1320697578707135E-3</v>
      </c>
      <c r="K12" s="20">
        <f>'4.Pref.Teoritis'!K13*'3.Normalisasi'!K14</f>
        <v>1.7010815294826644E-3</v>
      </c>
    </row>
    <row r="13" spans="1:12" ht="15" customHeight="1" x14ac:dyDescent="0.3">
      <c r="A13" s="7" t="s">
        <v>16</v>
      </c>
      <c r="B13" s="21">
        <f>'4.Pref.Teoritis'!B14*'3.Normalisasi'!B15</f>
        <v>5.4792176280942543E-3</v>
      </c>
      <c r="C13" s="21">
        <f>'4.Pref.Teoritis'!C14*'3.Normalisasi'!C15</f>
        <v>2.1003667574361305E-3</v>
      </c>
      <c r="D13" s="21">
        <f>'4.Pref.Teoritis'!D14*'3.Normalisasi'!D15</f>
        <v>0</v>
      </c>
      <c r="E13" s="21">
        <f>'4.Pref.Teoritis'!E14*'3.Normalisasi'!E15</f>
        <v>0</v>
      </c>
      <c r="F13" s="21">
        <f>'4.Pref.Teoritis'!F14*'3.Normalisasi'!F15</f>
        <v>3.7358302009733555E-3</v>
      </c>
      <c r="G13" s="21">
        <f>'4.Pref.Teoritis'!G14*'3.Normalisasi'!G15</f>
        <v>3.7423793648618622E-3</v>
      </c>
      <c r="H13" s="21">
        <f>'4.Pref.Teoritis'!H14*'3.Normalisasi'!H15</f>
        <v>4.1166173013480484E-3</v>
      </c>
      <c r="I13" s="21">
        <f>'4.Pref.Teoritis'!I14*'3.Normalisasi'!I15</f>
        <v>3.240155294252694E-3</v>
      </c>
      <c r="J13" s="21">
        <f>'4.Pref.Teoritis'!J14*'3.Normalisasi'!J15</f>
        <v>1.1320697578707135E-3</v>
      </c>
      <c r="K13" s="21">
        <f>'4.Pref.Teoritis'!K14*'3.Normalisasi'!K15</f>
        <v>1.7010815294826644E-3</v>
      </c>
    </row>
    <row r="14" spans="1:12" ht="15" customHeight="1" x14ac:dyDescent="0.3">
      <c r="A14" s="4" t="s">
        <v>17</v>
      </c>
      <c r="B14" s="20">
        <f>'4.Pref.Teoritis'!B15*'3.Normalisasi'!B16</f>
        <v>5.4792176280942543E-3</v>
      </c>
      <c r="C14" s="20">
        <f>'4.Pref.Teoritis'!C15*'3.Normalisasi'!C16</f>
        <v>0</v>
      </c>
      <c r="D14" s="20">
        <f>'4.Pref.Teoritis'!D15*'3.Normalisasi'!D16</f>
        <v>0</v>
      </c>
      <c r="E14" s="20">
        <f>'4.Pref.Teoritis'!E15*'3.Normalisasi'!E16</f>
        <v>0</v>
      </c>
      <c r="F14" s="20">
        <f>'4.Pref.Teoritis'!F15*'3.Normalisasi'!F16</f>
        <v>3.7358302009733555E-3</v>
      </c>
      <c r="G14" s="20">
        <f>'4.Pref.Teoritis'!G15*'3.Normalisasi'!G16</f>
        <v>3.7423793648618622E-3</v>
      </c>
      <c r="H14" s="20">
        <f>'4.Pref.Teoritis'!H15*'3.Normalisasi'!H16</f>
        <v>0</v>
      </c>
      <c r="I14" s="20">
        <f>'4.Pref.Teoritis'!I15*'3.Normalisasi'!I16</f>
        <v>3.240155294252694E-3</v>
      </c>
      <c r="J14" s="20">
        <f>'4.Pref.Teoritis'!J15*'3.Normalisasi'!J16</f>
        <v>4.5282790314828542E-3</v>
      </c>
      <c r="K14" s="20">
        <f>'4.Pref.Teoritis'!K15*'3.Normalisasi'!K16</f>
        <v>1.7010815294826644E-3</v>
      </c>
    </row>
    <row r="15" spans="1:12" ht="15" customHeight="1" x14ac:dyDescent="0.3">
      <c r="A15" s="7" t="s">
        <v>18</v>
      </c>
      <c r="B15" s="21">
        <f>'4.Pref.Teoritis'!B16*'3.Normalisasi'!B17</f>
        <v>5.4792176280942543E-3</v>
      </c>
      <c r="C15" s="21">
        <f>'4.Pref.Teoritis'!C16*'3.Normalisasi'!C17</f>
        <v>0</v>
      </c>
      <c r="D15" s="21">
        <f>'4.Pref.Teoritis'!D16*'3.Normalisasi'!D17</f>
        <v>7.2777708145161935E-3</v>
      </c>
      <c r="E15" s="21">
        <f>'4.Pref.Teoritis'!E16*'3.Normalisasi'!E17</f>
        <v>6.9312102995392321E-3</v>
      </c>
      <c r="F15" s="21">
        <f>'4.Pref.Teoritis'!F16*'3.Normalisasi'!F17</f>
        <v>2.4905534673155703E-3</v>
      </c>
      <c r="G15" s="21">
        <f>'4.Pref.Teoritis'!G16*'3.Normalisasi'!G17</f>
        <v>1.2474597882872872E-3</v>
      </c>
      <c r="H15" s="21">
        <f>'4.Pref.Teoritis'!H16*'3.Normalisasi'!H17</f>
        <v>0</v>
      </c>
      <c r="I15" s="21">
        <f>'4.Pref.Teoritis'!I16*'3.Normalisasi'!I17</f>
        <v>3.240155294252694E-3</v>
      </c>
      <c r="J15" s="21">
        <f>'4.Pref.Teoritis'!J16*'3.Normalisasi'!J17</f>
        <v>4.5282790314828542E-3</v>
      </c>
      <c r="K15" s="21">
        <f>'4.Pref.Teoritis'!K16*'3.Normalisasi'!K17</f>
        <v>1.7010815294826644E-3</v>
      </c>
    </row>
    <row r="16" spans="1:12" ht="15" customHeight="1" x14ac:dyDescent="0.3">
      <c r="A16" s="4" t="s">
        <v>19</v>
      </c>
      <c r="B16" s="20">
        <f>'4.Pref.Teoritis'!B17*'3.Normalisasi'!B18</f>
        <v>5.4792176280942543E-3</v>
      </c>
      <c r="C16" s="20">
        <f>'4.Pref.Teoritis'!C17*'3.Normalisasi'!C18</f>
        <v>0</v>
      </c>
      <c r="D16" s="20">
        <f>'4.Pref.Teoritis'!D17*'3.Normalisasi'!D18</f>
        <v>0</v>
      </c>
      <c r="E16" s="20">
        <f>'4.Pref.Teoritis'!E17*'3.Normalisasi'!E18</f>
        <v>0</v>
      </c>
      <c r="F16" s="20">
        <f>'4.Pref.Teoritis'!F17*'3.Normalisasi'!F18</f>
        <v>2.4905534673155703E-3</v>
      </c>
      <c r="G16" s="20">
        <f>'4.Pref.Teoritis'!G17*'3.Normalisasi'!G18</f>
        <v>3.7423793648618622E-3</v>
      </c>
      <c r="H16" s="20">
        <f>'4.Pref.Teoritis'!H17*'3.Normalisasi'!H18</f>
        <v>0</v>
      </c>
      <c r="I16" s="20">
        <f>'4.Pref.Teoritis'!I17*'3.Normalisasi'!I18</f>
        <v>3.240155294252694E-3</v>
      </c>
      <c r="J16" s="20">
        <f>'4.Pref.Teoritis'!J17*'3.Normalisasi'!J18</f>
        <v>2.2641395157414271E-3</v>
      </c>
      <c r="K16" s="20">
        <f>'4.Pref.Teoritis'!K17*'3.Normalisasi'!K18</f>
        <v>1.7010815294826644E-3</v>
      </c>
    </row>
    <row r="17" spans="1:11" ht="15" customHeight="1" x14ac:dyDescent="0.3">
      <c r="A17" s="7" t="s">
        <v>20</v>
      </c>
      <c r="B17" s="21">
        <f>'4.Pref.Teoritis'!B18*'3.Normalisasi'!B19</f>
        <v>5.4792176280942543E-3</v>
      </c>
      <c r="C17" s="21">
        <f>'4.Pref.Teoritis'!C18*'3.Normalisasi'!C19</f>
        <v>6.3011002723083924E-3</v>
      </c>
      <c r="D17" s="21">
        <f>'4.Pref.Teoritis'!D18*'3.Normalisasi'!D19</f>
        <v>7.2777708145161935E-3</v>
      </c>
      <c r="E17" s="21">
        <f>'4.Pref.Teoritis'!E18*'3.Normalisasi'!E19</f>
        <v>6.9312102995392321E-3</v>
      </c>
      <c r="F17" s="21">
        <f>'4.Pref.Teoritis'!F18*'3.Normalisasi'!F19</f>
        <v>4.9811069346311406E-3</v>
      </c>
      <c r="G17" s="21">
        <f>'4.Pref.Teoritis'!G18*'3.Normalisasi'!G19</f>
        <v>2.4949195765745745E-3</v>
      </c>
      <c r="H17" s="21">
        <f>'4.Pref.Teoritis'!H18*'3.Normalisasi'!H19</f>
        <v>0</v>
      </c>
      <c r="I17" s="21">
        <f>'4.Pref.Teoritis'!I18*'3.Normalisasi'!I19</f>
        <v>3.240155294252694E-3</v>
      </c>
      <c r="J17" s="21">
        <f>'4.Pref.Teoritis'!J18*'3.Normalisasi'!J19</f>
        <v>0</v>
      </c>
      <c r="K17" s="21">
        <f>'4.Pref.Teoritis'!K18*'3.Normalisasi'!K19</f>
        <v>1.7010815294826644E-3</v>
      </c>
    </row>
    <row r="18" spans="1:11" ht="15" customHeight="1" x14ac:dyDescent="0.3">
      <c r="A18" s="4" t="s">
        <v>21</v>
      </c>
      <c r="B18" s="20">
        <f>'4.Pref.Teoritis'!B19*'3.Normalisasi'!B20</f>
        <v>5.4792176280942543E-3</v>
      </c>
      <c r="C18" s="20">
        <f>'4.Pref.Teoritis'!C19*'3.Normalisasi'!C20</f>
        <v>2.1003667574361305E-3</v>
      </c>
      <c r="D18" s="20">
        <f>'4.Pref.Teoritis'!D19*'3.Normalisasi'!D20</f>
        <v>0</v>
      </c>
      <c r="E18" s="20">
        <f>'4.Pref.Teoritis'!E19*'3.Normalisasi'!E20</f>
        <v>0</v>
      </c>
      <c r="F18" s="20">
        <f>'4.Pref.Teoritis'!F19*'3.Normalisasi'!F20</f>
        <v>2.4905534673155703E-3</v>
      </c>
      <c r="G18" s="20">
        <f>'4.Pref.Teoritis'!G19*'3.Normalisasi'!G20</f>
        <v>1.2474597882872872E-3</v>
      </c>
      <c r="H18" s="20">
        <f>'4.Pref.Teoritis'!H19*'3.Normalisasi'!H20</f>
        <v>0</v>
      </c>
      <c r="I18" s="20">
        <f>'4.Pref.Teoritis'!I19*'3.Normalisasi'!I20</f>
        <v>3.240155294252694E-3</v>
      </c>
      <c r="J18" s="20">
        <f>'4.Pref.Teoritis'!J19*'3.Normalisasi'!J20</f>
        <v>2.2641395157414271E-3</v>
      </c>
      <c r="K18" s="20">
        <f>'4.Pref.Teoritis'!K19*'3.Normalisasi'!K20</f>
        <v>1.7010815294826644E-3</v>
      </c>
    </row>
    <row r="19" spans="1:11" x14ac:dyDescent="0.3">
      <c r="A19" s="7" t="s">
        <v>22</v>
      </c>
      <c r="B19" s="21">
        <f>'4.Pref.Teoritis'!B20*'3.Normalisasi'!B21</f>
        <v>5.4792176280942543E-3</v>
      </c>
      <c r="C19" s="21">
        <f>'4.Pref.Teoritis'!C20*'3.Normalisasi'!C21</f>
        <v>4.200733514872261E-3</v>
      </c>
      <c r="D19" s="21">
        <f>'4.Pref.Teoritis'!D20*'3.Normalisasi'!D21</f>
        <v>0</v>
      </c>
      <c r="E19" s="21">
        <f>'4.Pref.Teoritis'!E20*'3.Normalisasi'!E21</f>
        <v>0</v>
      </c>
      <c r="F19" s="21">
        <f>'4.Pref.Teoritis'!F20*'3.Normalisasi'!F21</f>
        <v>0</v>
      </c>
      <c r="G19" s="21">
        <f>'4.Pref.Teoritis'!G20*'3.Normalisasi'!G21</f>
        <v>3.7423793648618622E-3</v>
      </c>
      <c r="H19" s="21">
        <f>'4.Pref.Teoritis'!H20*'3.Normalisasi'!H21</f>
        <v>4.1166173013480484E-3</v>
      </c>
      <c r="I19" s="21">
        <f>'4.Pref.Teoritis'!I20*'3.Normalisasi'!I21</f>
        <v>3.240155294252694E-3</v>
      </c>
      <c r="J19" s="21">
        <f>'4.Pref.Teoritis'!J20*'3.Normalisasi'!J21</f>
        <v>2.2641395157414271E-3</v>
      </c>
      <c r="K19" s="21">
        <f>'4.Pref.Teoritis'!K20*'3.Normalisasi'!K21</f>
        <v>0</v>
      </c>
    </row>
    <row r="20" spans="1:11" x14ac:dyDescent="0.3">
      <c r="A20" s="4" t="s">
        <v>23</v>
      </c>
      <c r="B20" s="20">
        <f>'4.Pref.Teoritis'!B21*'3.Normalisasi'!B22</f>
        <v>5.4792176280942543E-3</v>
      </c>
      <c r="C20" s="20">
        <f>'4.Pref.Teoritis'!C21*'3.Normalisasi'!C22</f>
        <v>6.3011002723083924E-3</v>
      </c>
      <c r="D20" s="20">
        <f>'4.Pref.Teoritis'!D21*'3.Normalisasi'!D22</f>
        <v>0</v>
      </c>
      <c r="E20" s="20">
        <f>'4.Pref.Teoritis'!E21*'3.Normalisasi'!E22</f>
        <v>0</v>
      </c>
      <c r="F20" s="20">
        <f>'4.Pref.Teoritis'!F21*'3.Normalisasi'!F22</f>
        <v>4.9811069346311406E-3</v>
      </c>
      <c r="G20" s="20">
        <f>'4.Pref.Teoritis'!G21*'3.Normalisasi'!G22</f>
        <v>1.2474597882872872E-3</v>
      </c>
      <c r="H20" s="20">
        <f>'4.Pref.Teoritis'!H21*'3.Normalisasi'!H22</f>
        <v>0</v>
      </c>
      <c r="I20" s="20">
        <f>'4.Pref.Teoritis'!I21*'3.Normalisasi'!I22</f>
        <v>0</v>
      </c>
      <c r="J20" s="20">
        <f>'4.Pref.Teoritis'!J21*'3.Normalisasi'!J22</f>
        <v>2.2641395157414271E-3</v>
      </c>
      <c r="K20" s="20">
        <f>'4.Pref.Teoritis'!K21*'3.Normalisasi'!K22</f>
        <v>1.7010815294826644E-3</v>
      </c>
    </row>
    <row r="21" spans="1:11" x14ac:dyDescent="0.3">
      <c r="A21" s="7" t="s">
        <v>24</v>
      </c>
      <c r="B21" s="21">
        <f>'4.Pref.Teoritis'!B22*'3.Normalisasi'!B23</f>
        <v>5.4792176280942543E-3</v>
      </c>
      <c r="C21" s="21">
        <f>'4.Pref.Teoritis'!C22*'3.Normalisasi'!C23</f>
        <v>4.200733514872261E-3</v>
      </c>
      <c r="D21" s="21">
        <f>'4.Pref.Teoritis'!D22*'3.Normalisasi'!D23</f>
        <v>0</v>
      </c>
      <c r="E21" s="21">
        <f>'4.Pref.Teoritis'!E22*'3.Normalisasi'!E23</f>
        <v>0</v>
      </c>
      <c r="F21" s="21">
        <f>'4.Pref.Teoritis'!F22*'3.Normalisasi'!F23</f>
        <v>2.4905534673155703E-3</v>
      </c>
      <c r="G21" s="21">
        <f>'4.Pref.Teoritis'!G22*'3.Normalisasi'!G23</f>
        <v>3.7423793648618622E-3</v>
      </c>
      <c r="H21" s="21">
        <f>'4.Pref.Teoritis'!H22*'3.Normalisasi'!H23</f>
        <v>0</v>
      </c>
      <c r="I21" s="21">
        <f>'4.Pref.Teoritis'!I22*'3.Normalisasi'!I23</f>
        <v>0</v>
      </c>
      <c r="J21" s="21">
        <f>'4.Pref.Teoritis'!J22*'3.Normalisasi'!J23</f>
        <v>1.1320697578707135E-3</v>
      </c>
      <c r="K21" s="21">
        <f>'4.Pref.Teoritis'!K22*'3.Normalisasi'!K23</f>
        <v>1.7010815294826644E-3</v>
      </c>
    </row>
    <row r="22" spans="1:11" x14ac:dyDescent="0.3">
      <c r="A22" s="4" t="s">
        <v>25</v>
      </c>
      <c r="B22" s="20">
        <f>'4.Pref.Teoritis'!B23*'3.Normalisasi'!B24</f>
        <v>5.4792176280942543E-3</v>
      </c>
      <c r="C22" s="20">
        <f>'4.Pref.Teoritis'!C23*'3.Normalisasi'!C24</f>
        <v>2.1003667574361305E-3</v>
      </c>
      <c r="D22" s="20">
        <f>'4.Pref.Teoritis'!D23*'3.Normalisasi'!D24</f>
        <v>0</v>
      </c>
      <c r="E22" s="20">
        <f>'4.Pref.Teoritis'!E23*'3.Normalisasi'!E24</f>
        <v>0</v>
      </c>
      <c r="F22" s="20">
        <f>'4.Pref.Teoritis'!F23*'3.Normalisasi'!F24</f>
        <v>0</v>
      </c>
      <c r="G22" s="20">
        <f>'4.Pref.Teoritis'!G23*'3.Normalisasi'!G24</f>
        <v>3.7423793648618622E-3</v>
      </c>
      <c r="H22" s="20">
        <f>'4.Pref.Teoritis'!H23*'3.Normalisasi'!H24</f>
        <v>0</v>
      </c>
      <c r="I22" s="20">
        <f>'4.Pref.Teoritis'!I23*'3.Normalisasi'!I24</f>
        <v>3.240155294252694E-3</v>
      </c>
      <c r="J22" s="20">
        <f>'4.Pref.Teoritis'!J23*'3.Normalisasi'!J24</f>
        <v>4.5282790314828542E-3</v>
      </c>
      <c r="K22" s="20">
        <f>'4.Pref.Teoritis'!K23*'3.Normalisasi'!K24</f>
        <v>1.7010815294826644E-3</v>
      </c>
    </row>
    <row r="23" spans="1:11" x14ac:dyDescent="0.3">
      <c r="A23" s="7" t="s">
        <v>26</v>
      </c>
      <c r="B23" s="21">
        <f>'4.Pref.Teoritis'!B24*'3.Normalisasi'!B25</f>
        <v>5.4792176280942543E-3</v>
      </c>
      <c r="C23" s="21">
        <f>'4.Pref.Teoritis'!C24*'3.Normalisasi'!C25</f>
        <v>4.200733514872261E-3</v>
      </c>
      <c r="D23" s="21">
        <f>'4.Pref.Teoritis'!D24*'3.Normalisasi'!D25</f>
        <v>0</v>
      </c>
      <c r="E23" s="21">
        <f>'4.Pref.Teoritis'!E24*'3.Normalisasi'!E25</f>
        <v>0</v>
      </c>
      <c r="F23" s="21">
        <f>'4.Pref.Teoritis'!F24*'3.Normalisasi'!F25</f>
        <v>2.4905534673155703E-3</v>
      </c>
      <c r="G23" s="21">
        <f>'4.Pref.Teoritis'!G24*'3.Normalisasi'!G25</f>
        <v>0</v>
      </c>
      <c r="H23" s="21">
        <f>'4.Pref.Teoritis'!H24*'3.Normalisasi'!H25</f>
        <v>0</v>
      </c>
      <c r="I23" s="21">
        <f>'4.Pref.Teoritis'!I24*'3.Normalisasi'!I25</f>
        <v>3.240155294252694E-3</v>
      </c>
      <c r="J23" s="21">
        <f>'4.Pref.Teoritis'!J24*'3.Normalisasi'!J25</f>
        <v>0</v>
      </c>
      <c r="K23" s="21">
        <f>'4.Pref.Teoritis'!K24*'3.Normalisasi'!K25</f>
        <v>1.7010815294826644E-3</v>
      </c>
    </row>
  </sheetData>
  <mergeCells count="2">
    <mergeCell ref="A2:L2"/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3"/>
  <sheetViews>
    <sheetView showGridLines="0" zoomScaleNormal="100" workbookViewId="0">
      <selection sqref="A1:M1"/>
    </sheetView>
  </sheetViews>
  <sheetFormatPr defaultColWidth="8.6640625" defaultRowHeight="14.4" x14ac:dyDescent="0.3"/>
  <cols>
    <col min="1" max="11" width="13" customWidth="1"/>
    <col min="12" max="12" width="14" customWidth="1"/>
    <col min="13" max="13" width="8" customWidth="1"/>
  </cols>
  <sheetData>
    <row r="1" spans="1:13" ht="15" customHeight="1" x14ac:dyDescent="0.3">
      <c r="A1" s="59" t="s">
        <v>98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</row>
    <row r="2" spans="1:13" ht="15" customHeight="1" x14ac:dyDescent="0.3">
      <c r="A2" s="56" t="s">
        <v>99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8"/>
    </row>
    <row r="3" spans="1:13" ht="15" customHeight="1" x14ac:dyDescent="0.3">
      <c r="A3" s="1" t="s">
        <v>3</v>
      </c>
      <c r="B3" s="1" t="s">
        <v>33</v>
      </c>
      <c r="C3" s="1" t="s">
        <v>37</v>
      </c>
      <c r="D3" s="1" t="s">
        <v>40</v>
      </c>
      <c r="E3" s="1" t="s">
        <v>43</v>
      </c>
      <c r="F3" s="1" t="s">
        <v>46</v>
      </c>
      <c r="G3" s="1" t="s">
        <v>50</v>
      </c>
      <c r="H3" s="1" t="s">
        <v>53</v>
      </c>
      <c r="I3" s="1" t="s">
        <v>56</v>
      </c>
      <c r="J3" s="1" t="s">
        <v>59</v>
      </c>
      <c r="K3" s="1" t="s">
        <v>62</v>
      </c>
      <c r="L3" s="1" t="s">
        <v>100</v>
      </c>
      <c r="M3" s="1" t="s">
        <v>5</v>
      </c>
    </row>
    <row r="4" spans="1:13" ht="15" customHeight="1" x14ac:dyDescent="0.3">
      <c r="A4" s="4" t="s">
        <v>7</v>
      </c>
      <c r="B4" s="20">
        <f>'4.Pref.Teoritis'!B5-'5.Pref.Nyata'!B4</f>
        <v>0</v>
      </c>
      <c r="C4" s="20">
        <f>'4.Pref.Teoritis'!C5-'5.Pref.Nyata'!C4</f>
        <v>4.2007335148722619E-3</v>
      </c>
      <c r="D4" s="20">
        <f>'4.Pref.Teoritis'!D5-'5.Pref.Nyata'!D4</f>
        <v>0</v>
      </c>
      <c r="E4" s="20">
        <f>'4.Pref.Teoritis'!E5-'5.Pref.Nyata'!E4</f>
        <v>0</v>
      </c>
      <c r="F4" s="20">
        <f>'4.Pref.Teoritis'!F5-'5.Pref.Nyata'!F4</f>
        <v>0</v>
      </c>
      <c r="G4" s="20">
        <f>'4.Pref.Teoritis'!G5-'5.Pref.Nyata'!G4</f>
        <v>0</v>
      </c>
      <c r="H4" s="20">
        <f>'4.Pref.Teoritis'!H5-'5.Pref.Nyata'!H4</f>
        <v>4.1166173013480484E-3</v>
      </c>
      <c r="I4" s="20">
        <f>'4.Pref.Teoritis'!I5-'5.Pref.Nyata'!I4</f>
        <v>0</v>
      </c>
      <c r="J4" s="20">
        <f>'4.Pref.Teoritis'!J5-'5.Pref.Nyata'!J4</f>
        <v>3.3962092736121406E-3</v>
      </c>
      <c r="K4" s="20">
        <f>'4.Pref.Teoritis'!K5-'5.Pref.Nyata'!K4</f>
        <v>1.7010815294826644E-3</v>
      </c>
      <c r="L4" s="22">
        <f t="shared" ref="L4:L23" si="0">SUM(B4:K4)</f>
        <v>1.3414641619315116E-2</v>
      </c>
      <c r="M4" s="11">
        <f t="shared" ref="M4:M23" si="1">RANK(L4,$L$4:$L$23,1)</f>
        <v>3</v>
      </c>
    </row>
    <row r="5" spans="1:13" ht="15" customHeight="1" x14ac:dyDescent="0.3">
      <c r="A5" s="7" t="s">
        <v>8</v>
      </c>
      <c r="B5" s="21">
        <f>'4.Pref.Teoritis'!B6-'5.Pref.Nyata'!B5</f>
        <v>0</v>
      </c>
      <c r="C5" s="21">
        <f>'4.Pref.Teoritis'!C6-'5.Pref.Nyata'!C5</f>
        <v>4.2007335148722619E-3</v>
      </c>
      <c r="D5" s="21">
        <f>'4.Pref.Teoritis'!D6-'5.Pref.Nyata'!D5</f>
        <v>7.2777708145161935E-3</v>
      </c>
      <c r="E5" s="21">
        <f>'4.Pref.Teoritis'!E6-'5.Pref.Nyata'!E5</f>
        <v>6.9312102995392321E-3</v>
      </c>
      <c r="F5" s="21">
        <f>'4.Pref.Teoritis'!F6-'5.Pref.Nyata'!F5</f>
        <v>2.4905534673155703E-3</v>
      </c>
      <c r="G5" s="21">
        <f>'4.Pref.Teoritis'!G6-'5.Pref.Nyata'!G5</f>
        <v>0</v>
      </c>
      <c r="H5" s="21">
        <f>'4.Pref.Teoritis'!H6-'5.Pref.Nyata'!H5</f>
        <v>0</v>
      </c>
      <c r="I5" s="21">
        <f>'4.Pref.Teoritis'!I6-'5.Pref.Nyata'!I5</f>
        <v>0</v>
      </c>
      <c r="J5" s="21">
        <f>'4.Pref.Teoritis'!J6-'5.Pref.Nyata'!J5</f>
        <v>0</v>
      </c>
      <c r="K5" s="21">
        <f>'4.Pref.Teoritis'!K6-'5.Pref.Nyata'!K5</f>
        <v>1.7010815294826644E-3</v>
      </c>
      <c r="L5" s="22">
        <f t="shared" si="0"/>
        <v>2.2601349625725922E-2</v>
      </c>
      <c r="M5" s="11">
        <f t="shared" si="1"/>
        <v>6</v>
      </c>
    </row>
    <row r="6" spans="1:13" ht="15" customHeight="1" x14ac:dyDescent="0.3">
      <c r="A6" s="4" t="s">
        <v>9</v>
      </c>
      <c r="B6" s="20">
        <f>'4.Pref.Teoritis'!B7-'5.Pref.Nyata'!B6</f>
        <v>0</v>
      </c>
      <c r="C6" s="20">
        <f>'4.Pref.Teoritis'!C7-'5.Pref.Nyata'!C6</f>
        <v>2.1003667574361314E-3</v>
      </c>
      <c r="D6" s="20">
        <f>'4.Pref.Teoritis'!D7-'5.Pref.Nyata'!D6</f>
        <v>0</v>
      </c>
      <c r="E6" s="20">
        <f>'4.Pref.Teoritis'!E7-'5.Pref.Nyata'!E6</f>
        <v>0</v>
      </c>
      <c r="F6" s="20">
        <f>'4.Pref.Teoritis'!F7-'5.Pref.Nyata'!F6</f>
        <v>2.4905534673155703E-3</v>
      </c>
      <c r="G6" s="20">
        <f>'4.Pref.Teoritis'!G7-'5.Pref.Nyata'!G6</f>
        <v>0</v>
      </c>
      <c r="H6" s="20">
        <f>'4.Pref.Teoritis'!H7-'5.Pref.Nyata'!H6</f>
        <v>0</v>
      </c>
      <c r="I6" s="20">
        <f>'4.Pref.Teoritis'!I7-'5.Pref.Nyata'!I6</f>
        <v>0</v>
      </c>
      <c r="J6" s="20">
        <f>'4.Pref.Teoritis'!J7-'5.Pref.Nyata'!J6</f>
        <v>3.3962092736121406E-3</v>
      </c>
      <c r="K6" s="20">
        <f>'4.Pref.Teoritis'!K7-'5.Pref.Nyata'!K6</f>
        <v>0</v>
      </c>
      <c r="L6" s="22">
        <f t="shared" si="0"/>
        <v>7.9871294983638423E-3</v>
      </c>
      <c r="M6" s="11">
        <f t="shared" si="1"/>
        <v>1</v>
      </c>
    </row>
    <row r="7" spans="1:13" ht="15" customHeight="1" x14ac:dyDescent="0.3">
      <c r="A7" s="7" t="s">
        <v>10</v>
      </c>
      <c r="B7" s="21">
        <f>'4.Pref.Teoritis'!B8-'5.Pref.Nyata'!B7</f>
        <v>0</v>
      </c>
      <c r="C7" s="21">
        <f>'4.Pref.Teoritis'!C8-'5.Pref.Nyata'!C7</f>
        <v>6.3011002723083924E-3</v>
      </c>
      <c r="D7" s="21">
        <f>'4.Pref.Teoritis'!D8-'5.Pref.Nyata'!D7</f>
        <v>7.2777708145161935E-3</v>
      </c>
      <c r="E7" s="21">
        <f>'4.Pref.Teoritis'!E8-'5.Pref.Nyata'!E7</f>
        <v>6.9312102995392321E-3</v>
      </c>
      <c r="F7" s="21">
        <f>'4.Pref.Teoritis'!F8-'5.Pref.Nyata'!F7</f>
        <v>1.2452767336577852E-3</v>
      </c>
      <c r="G7" s="21">
        <f>'4.Pref.Teoritis'!G8-'5.Pref.Nyata'!G7</f>
        <v>0</v>
      </c>
      <c r="H7" s="21">
        <f>'4.Pref.Teoritis'!H8-'5.Pref.Nyata'!H7</f>
        <v>4.1166173013480484E-3</v>
      </c>
      <c r="I7" s="21">
        <f>'4.Pref.Teoritis'!I8-'5.Pref.Nyata'!I7</f>
        <v>0</v>
      </c>
      <c r="J7" s="21">
        <f>'4.Pref.Teoritis'!J8-'5.Pref.Nyata'!J7</f>
        <v>3.3962092736121406E-3</v>
      </c>
      <c r="K7" s="21">
        <f>'4.Pref.Teoritis'!K8-'5.Pref.Nyata'!K7</f>
        <v>1.7010815294826644E-3</v>
      </c>
      <c r="L7" s="22">
        <f t="shared" si="0"/>
        <v>3.0969266224464449E-2</v>
      </c>
      <c r="M7" s="11">
        <f t="shared" si="1"/>
        <v>16</v>
      </c>
    </row>
    <row r="8" spans="1:13" ht="15" customHeight="1" x14ac:dyDescent="0.3">
      <c r="A8" s="4" t="s">
        <v>11</v>
      </c>
      <c r="B8" s="20">
        <f>'4.Pref.Teoritis'!B9-'5.Pref.Nyata'!B8</f>
        <v>0</v>
      </c>
      <c r="C8" s="20">
        <f>'4.Pref.Teoritis'!C9-'5.Pref.Nyata'!C8</f>
        <v>4.2007335148722619E-3</v>
      </c>
      <c r="D8" s="20">
        <f>'4.Pref.Teoritis'!D9-'5.Pref.Nyata'!D8</f>
        <v>0</v>
      </c>
      <c r="E8" s="20">
        <f>'4.Pref.Teoritis'!E9-'5.Pref.Nyata'!E8</f>
        <v>0</v>
      </c>
      <c r="F8" s="20">
        <f>'4.Pref.Teoritis'!F9-'5.Pref.Nyata'!F8</f>
        <v>2.4905534673155703E-3</v>
      </c>
      <c r="G8" s="20">
        <f>'4.Pref.Teoritis'!G9-'5.Pref.Nyata'!G8</f>
        <v>1.2474597882872877E-3</v>
      </c>
      <c r="H8" s="20">
        <f>'4.Pref.Teoritis'!H9-'5.Pref.Nyata'!H8</f>
        <v>4.1166173013480484E-3</v>
      </c>
      <c r="I8" s="20">
        <f>'4.Pref.Teoritis'!I9-'5.Pref.Nyata'!I8</f>
        <v>0</v>
      </c>
      <c r="J8" s="20">
        <f>'4.Pref.Teoritis'!J9-'5.Pref.Nyata'!J8</f>
        <v>0</v>
      </c>
      <c r="K8" s="20">
        <f>'4.Pref.Teoritis'!K9-'5.Pref.Nyata'!K8</f>
        <v>1.7010815294826644E-3</v>
      </c>
      <c r="L8" s="22">
        <f t="shared" si="0"/>
        <v>1.3756445601305832E-2</v>
      </c>
      <c r="M8" s="11">
        <f t="shared" si="1"/>
        <v>4</v>
      </c>
    </row>
    <row r="9" spans="1:13" ht="15" customHeight="1" x14ac:dyDescent="0.3">
      <c r="A9" s="7" t="s">
        <v>12</v>
      </c>
      <c r="B9" s="21">
        <f>'4.Pref.Teoritis'!B10-'5.Pref.Nyata'!B9</f>
        <v>0</v>
      </c>
      <c r="C9" s="21">
        <f>'4.Pref.Teoritis'!C10-'5.Pref.Nyata'!C9</f>
        <v>2.1003667574361314E-3</v>
      </c>
      <c r="D9" s="21">
        <f>'4.Pref.Teoritis'!D10-'5.Pref.Nyata'!D9</f>
        <v>7.2777708145161935E-3</v>
      </c>
      <c r="E9" s="21">
        <f>'4.Pref.Teoritis'!E10-'5.Pref.Nyata'!E9</f>
        <v>6.9312102995392321E-3</v>
      </c>
      <c r="F9" s="21">
        <f>'4.Pref.Teoritis'!F10-'5.Pref.Nyata'!F9</f>
        <v>4.9811069346311406E-3</v>
      </c>
      <c r="G9" s="21">
        <f>'4.Pref.Teoritis'!G10-'5.Pref.Nyata'!G9</f>
        <v>0</v>
      </c>
      <c r="H9" s="21">
        <f>'4.Pref.Teoritis'!H10-'5.Pref.Nyata'!H9</f>
        <v>4.1166173013480484E-3</v>
      </c>
      <c r="I9" s="21">
        <f>'4.Pref.Teoritis'!I10-'5.Pref.Nyata'!I9</f>
        <v>0</v>
      </c>
      <c r="J9" s="21">
        <f>'4.Pref.Teoritis'!J10-'5.Pref.Nyata'!J9</f>
        <v>3.3962092736121406E-3</v>
      </c>
      <c r="K9" s="21">
        <f>'4.Pref.Teoritis'!K10-'5.Pref.Nyata'!K9</f>
        <v>1.7010815294826644E-3</v>
      </c>
      <c r="L9" s="22">
        <f t="shared" si="0"/>
        <v>3.0504362910565547E-2</v>
      </c>
      <c r="M9" s="11">
        <f t="shared" si="1"/>
        <v>15</v>
      </c>
    </row>
    <row r="10" spans="1:13" ht="15" customHeight="1" x14ac:dyDescent="0.3">
      <c r="A10" s="4" t="s">
        <v>13</v>
      </c>
      <c r="B10" s="20">
        <f>'4.Pref.Teoritis'!B11-'5.Pref.Nyata'!B10</f>
        <v>0</v>
      </c>
      <c r="C10" s="20">
        <f>'4.Pref.Teoritis'!C11-'5.Pref.Nyata'!C10</f>
        <v>4.2007335148722619E-3</v>
      </c>
      <c r="D10" s="20">
        <f>'4.Pref.Teoritis'!D11-'5.Pref.Nyata'!D10</f>
        <v>7.2777708145161935E-3</v>
      </c>
      <c r="E10" s="20">
        <f>'4.Pref.Teoritis'!E11-'5.Pref.Nyata'!E10</f>
        <v>6.9312102995392321E-3</v>
      </c>
      <c r="F10" s="20">
        <f>'4.Pref.Teoritis'!F11-'5.Pref.Nyata'!F10</f>
        <v>0</v>
      </c>
      <c r="G10" s="20">
        <f>'4.Pref.Teoritis'!G11-'5.Pref.Nyata'!G10</f>
        <v>0</v>
      </c>
      <c r="H10" s="20">
        <f>'4.Pref.Teoritis'!H11-'5.Pref.Nyata'!H10</f>
        <v>4.1166173013480484E-3</v>
      </c>
      <c r="I10" s="20">
        <f>'4.Pref.Teoritis'!I11-'5.Pref.Nyata'!I10</f>
        <v>0</v>
      </c>
      <c r="J10" s="20">
        <f>'4.Pref.Teoritis'!J11-'5.Pref.Nyata'!J10</f>
        <v>1.1320697578707135E-3</v>
      </c>
      <c r="K10" s="20">
        <f>'4.Pref.Teoritis'!K11-'5.Pref.Nyata'!K10</f>
        <v>1.7010815294826644E-3</v>
      </c>
      <c r="L10" s="22">
        <f t="shared" si="0"/>
        <v>2.5359483217629111E-2</v>
      </c>
      <c r="M10" s="11">
        <f t="shared" si="1"/>
        <v>10</v>
      </c>
    </row>
    <row r="11" spans="1:13" ht="15" customHeight="1" x14ac:dyDescent="0.3">
      <c r="A11" s="7" t="s">
        <v>14</v>
      </c>
      <c r="B11" s="21">
        <f>'4.Pref.Teoritis'!B12-'5.Pref.Nyata'!B11</f>
        <v>5.4792176280942543E-3</v>
      </c>
      <c r="C11" s="21">
        <f>'4.Pref.Teoritis'!C12-'5.Pref.Nyata'!C11</f>
        <v>4.2007335148722619E-3</v>
      </c>
      <c r="D11" s="21">
        <f>'4.Pref.Teoritis'!D12-'5.Pref.Nyata'!D11</f>
        <v>0</v>
      </c>
      <c r="E11" s="21">
        <f>'4.Pref.Teoritis'!E12-'5.Pref.Nyata'!E11</f>
        <v>0</v>
      </c>
      <c r="F11" s="21">
        <f>'4.Pref.Teoritis'!F12-'5.Pref.Nyata'!F11</f>
        <v>4.9811069346311406E-3</v>
      </c>
      <c r="G11" s="21">
        <f>'4.Pref.Teoritis'!G12-'5.Pref.Nyata'!G11</f>
        <v>0</v>
      </c>
      <c r="H11" s="21">
        <f>'4.Pref.Teoritis'!H12-'5.Pref.Nyata'!H11</f>
        <v>2.7444115342320323E-3</v>
      </c>
      <c r="I11" s="21">
        <f>'4.Pref.Teoritis'!I12-'5.Pref.Nyata'!I11</f>
        <v>0</v>
      </c>
      <c r="J11" s="21">
        <f>'4.Pref.Teoritis'!J12-'5.Pref.Nyata'!J11</f>
        <v>2.2641395157414271E-3</v>
      </c>
      <c r="K11" s="21">
        <f>'4.Pref.Teoritis'!K12-'5.Pref.Nyata'!K11</f>
        <v>3.4021630589653289E-3</v>
      </c>
      <c r="L11" s="22">
        <f t="shared" si="0"/>
        <v>2.3071772186536447E-2</v>
      </c>
      <c r="M11" s="11">
        <f t="shared" si="1"/>
        <v>7</v>
      </c>
    </row>
    <row r="12" spans="1:13" ht="15" customHeight="1" x14ac:dyDescent="0.3">
      <c r="A12" s="4" t="s">
        <v>15</v>
      </c>
      <c r="B12" s="20">
        <f>'4.Pref.Teoritis'!B13-'5.Pref.Nyata'!B12</f>
        <v>0</v>
      </c>
      <c r="C12" s="20">
        <f>'4.Pref.Teoritis'!C13-'5.Pref.Nyata'!C12</f>
        <v>4.2007335148722619E-3</v>
      </c>
      <c r="D12" s="20">
        <f>'4.Pref.Teoritis'!D13-'5.Pref.Nyata'!D12</f>
        <v>7.2777708145161935E-3</v>
      </c>
      <c r="E12" s="20">
        <f>'4.Pref.Teoritis'!E13-'5.Pref.Nyata'!E12</f>
        <v>0</v>
      </c>
      <c r="F12" s="20">
        <f>'4.Pref.Teoritis'!F13-'5.Pref.Nyata'!F12</f>
        <v>2.4905534673155703E-3</v>
      </c>
      <c r="G12" s="20">
        <f>'4.Pref.Teoritis'!G13-'5.Pref.Nyata'!G12</f>
        <v>0</v>
      </c>
      <c r="H12" s="20">
        <f>'4.Pref.Teoritis'!H13-'5.Pref.Nyata'!H12</f>
        <v>4.1166173013480484E-3</v>
      </c>
      <c r="I12" s="20">
        <f>'4.Pref.Teoritis'!I13-'5.Pref.Nyata'!I12</f>
        <v>0</v>
      </c>
      <c r="J12" s="20">
        <f>'4.Pref.Teoritis'!J13-'5.Pref.Nyata'!J12</f>
        <v>3.3962092736121406E-3</v>
      </c>
      <c r="K12" s="20">
        <f>'4.Pref.Teoritis'!K13-'5.Pref.Nyata'!K12</f>
        <v>1.7010815294826644E-3</v>
      </c>
      <c r="L12" s="22">
        <f t="shared" si="0"/>
        <v>2.3182965901146879E-2</v>
      </c>
      <c r="M12" s="11">
        <f t="shared" si="1"/>
        <v>8</v>
      </c>
    </row>
    <row r="13" spans="1:13" ht="15" customHeight="1" x14ac:dyDescent="0.3">
      <c r="A13" s="7" t="s">
        <v>16</v>
      </c>
      <c r="B13" s="21">
        <f>'4.Pref.Teoritis'!B14-'5.Pref.Nyata'!B13</f>
        <v>0</v>
      </c>
      <c r="C13" s="21">
        <f>'4.Pref.Teoritis'!C14-'5.Pref.Nyata'!C13</f>
        <v>4.2007335148722619E-3</v>
      </c>
      <c r="D13" s="21">
        <f>'4.Pref.Teoritis'!D14-'5.Pref.Nyata'!D13</f>
        <v>7.2777708145161935E-3</v>
      </c>
      <c r="E13" s="21">
        <f>'4.Pref.Teoritis'!E14-'5.Pref.Nyata'!E13</f>
        <v>6.9312102995392321E-3</v>
      </c>
      <c r="F13" s="21">
        <f>'4.Pref.Teoritis'!F14-'5.Pref.Nyata'!F13</f>
        <v>1.2452767336577852E-3</v>
      </c>
      <c r="G13" s="21">
        <f>'4.Pref.Teoritis'!G14-'5.Pref.Nyata'!G13</f>
        <v>0</v>
      </c>
      <c r="H13" s="21">
        <f>'4.Pref.Teoritis'!H14-'5.Pref.Nyata'!H13</f>
        <v>0</v>
      </c>
      <c r="I13" s="21">
        <f>'4.Pref.Teoritis'!I14-'5.Pref.Nyata'!I13</f>
        <v>0</v>
      </c>
      <c r="J13" s="21">
        <f>'4.Pref.Teoritis'!J14-'5.Pref.Nyata'!J13</f>
        <v>3.3962092736121406E-3</v>
      </c>
      <c r="K13" s="21">
        <f>'4.Pref.Teoritis'!K14-'5.Pref.Nyata'!K13</f>
        <v>1.7010815294826644E-3</v>
      </c>
      <c r="L13" s="22">
        <f t="shared" si="0"/>
        <v>2.4752282165680276E-2</v>
      </c>
      <c r="M13" s="11">
        <f t="shared" si="1"/>
        <v>9</v>
      </c>
    </row>
    <row r="14" spans="1:13" ht="15" customHeight="1" x14ac:dyDescent="0.3">
      <c r="A14" s="4" t="s">
        <v>17</v>
      </c>
      <c r="B14" s="20">
        <f>'4.Pref.Teoritis'!B15-'5.Pref.Nyata'!B14</f>
        <v>0</v>
      </c>
      <c r="C14" s="20">
        <f>'4.Pref.Teoritis'!C15-'5.Pref.Nyata'!C14</f>
        <v>6.3011002723083924E-3</v>
      </c>
      <c r="D14" s="20">
        <f>'4.Pref.Teoritis'!D15-'5.Pref.Nyata'!D14</f>
        <v>7.2777708145161935E-3</v>
      </c>
      <c r="E14" s="20">
        <f>'4.Pref.Teoritis'!E15-'5.Pref.Nyata'!E14</f>
        <v>6.9312102995392321E-3</v>
      </c>
      <c r="F14" s="20">
        <f>'4.Pref.Teoritis'!F15-'5.Pref.Nyata'!F14</f>
        <v>1.2452767336577852E-3</v>
      </c>
      <c r="G14" s="20">
        <f>'4.Pref.Teoritis'!G15-'5.Pref.Nyata'!G14</f>
        <v>0</v>
      </c>
      <c r="H14" s="20">
        <f>'4.Pref.Teoritis'!H15-'5.Pref.Nyata'!H14</f>
        <v>4.1166173013480484E-3</v>
      </c>
      <c r="I14" s="20">
        <f>'4.Pref.Teoritis'!I15-'5.Pref.Nyata'!I14</f>
        <v>0</v>
      </c>
      <c r="J14" s="20">
        <f>'4.Pref.Teoritis'!J15-'5.Pref.Nyata'!J14</f>
        <v>0</v>
      </c>
      <c r="K14" s="20">
        <f>'4.Pref.Teoritis'!K15-'5.Pref.Nyata'!K14</f>
        <v>1.7010815294826644E-3</v>
      </c>
      <c r="L14" s="22">
        <f t="shared" si="0"/>
        <v>2.7573056950852312E-2</v>
      </c>
      <c r="M14" s="11">
        <f t="shared" si="1"/>
        <v>12</v>
      </c>
    </row>
    <row r="15" spans="1:13" ht="15" customHeight="1" x14ac:dyDescent="0.3">
      <c r="A15" s="7" t="s">
        <v>18</v>
      </c>
      <c r="B15" s="21">
        <f>'4.Pref.Teoritis'!B16-'5.Pref.Nyata'!B15</f>
        <v>0</v>
      </c>
      <c r="C15" s="21">
        <f>'4.Pref.Teoritis'!C16-'5.Pref.Nyata'!C15</f>
        <v>6.3011002723083924E-3</v>
      </c>
      <c r="D15" s="21">
        <f>'4.Pref.Teoritis'!D16-'5.Pref.Nyata'!D15</f>
        <v>0</v>
      </c>
      <c r="E15" s="21">
        <f>'4.Pref.Teoritis'!E16-'5.Pref.Nyata'!E15</f>
        <v>0</v>
      </c>
      <c r="F15" s="21">
        <f>'4.Pref.Teoritis'!F16-'5.Pref.Nyata'!F15</f>
        <v>2.4905534673155703E-3</v>
      </c>
      <c r="G15" s="21">
        <f>'4.Pref.Teoritis'!G16-'5.Pref.Nyata'!G15</f>
        <v>2.4949195765745749E-3</v>
      </c>
      <c r="H15" s="21">
        <f>'4.Pref.Teoritis'!H16-'5.Pref.Nyata'!H15</f>
        <v>4.1166173013480484E-3</v>
      </c>
      <c r="I15" s="21">
        <f>'4.Pref.Teoritis'!I16-'5.Pref.Nyata'!I15</f>
        <v>0</v>
      </c>
      <c r="J15" s="21">
        <f>'4.Pref.Teoritis'!J16-'5.Pref.Nyata'!J15</f>
        <v>0</v>
      </c>
      <c r="K15" s="21">
        <f>'4.Pref.Teoritis'!K16-'5.Pref.Nyata'!K15</f>
        <v>1.7010815294826644E-3</v>
      </c>
      <c r="L15" s="22">
        <f t="shared" si="0"/>
        <v>1.710427214702925E-2</v>
      </c>
      <c r="M15" s="11">
        <f t="shared" si="1"/>
        <v>5</v>
      </c>
    </row>
    <row r="16" spans="1:13" ht="15" customHeight="1" x14ac:dyDescent="0.3">
      <c r="A16" s="4" t="s">
        <v>19</v>
      </c>
      <c r="B16" s="20">
        <f>'4.Pref.Teoritis'!B17-'5.Pref.Nyata'!B16</f>
        <v>0</v>
      </c>
      <c r="C16" s="20">
        <f>'4.Pref.Teoritis'!C17-'5.Pref.Nyata'!C16</f>
        <v>6.3011002723083924E-3</v>
      </c>
      <c r="D16" s="20">
        <f>'4.Pref.Teoritis'!D17-'5.Pref.Nyata'!D16</f>
        <v>7.2777708145161935E-3</v>
      </c>
      <c r="E16" s="20">
        <f>'4.Pref.Teoritis'!E17-'5.Pref.Nyata'!E16</f>
        <v>6.9312102995392321E-3</v>
      </c>
      <c r="F16" s="20">
        <f>'4.Pref.Teoritis'!F17-'5.Pref.Nyata'!F16</f>
        <v>2.4905534673155703E-3</v>
      </c>
      <c r="G16" s="20">
        <f>'4.Pref.Teoritis'!G17-'5.Pref.Nyata'!G16</f>
        <v>0</v>
      </c>
      <c r="H16" s="20">
        <f>'4.Pref.Teoritis'!H17-'5.Pref.Nyata'!H16</f>
        <v>4.1166173013480484E-3</v>
      </c>
      <c r="I16" s="20">
        <f>'4.Pref.Teoritis'!I17-'5.Pref.Nyata'!I16</f>
        <v>0</v>
      </c>
      <c r="J16" s="20">
        <f>'4.Pref.Teoritis'!J17-'5.Pref.Nyata'!J16</f>
        <v>2.2641395157414271E-3</v>
      </c>
      <c r="K16" s="20">
        <f>'4.Pref.Teoritis'!K17-'5.Pref.Nyata'!K16</f>
        <v>1.7010815294826644E-3</v>
      </c>
      <c r="L16" s="22">
        <f t="shared" si="0"/>
        <v>3.108247320025153E-2</v>
      </c>
      <c r="M16" s="11">
        <f t="shared" si="1"/>
        <v>17</v>
      </c>
    </row>
    <row r="17" spans="1:13" ht="15" customHeight="1" x14ac:dyDescent="0.3">
      <c r="A17" s="7" t="s">
        <v>20</v>
      </c>
      <c r="B17" s="21">
        <f>'4.Pref.Teoritis'!B18-'5.Pref.Nyata'!B17</f>
        <v>0</v>
      </c>
      <c r="C17" s="21">
        <f>'4.Pref.Teoritis'!C18-'5.Pref.Nyata'!C17</f>
        <v>0</v>
      </c>
      <c r="D17" s="21">
        <f>'4.Pref.Teoritis'!D18-'5.Pref.Nyata'!D17</f>
        <v>0</v>
      </c>
      <c r="E17" s="21">
        <f>'4.Pref.Teoritis'!E18-'5.Pref.Nyata'!E17</f>
        <v>0</v>
      </c>
      <c r="F17" s="21">
        <f>'4.Pref.Teoritis'!F18-'5.Pref.Nyata'!F17</f>
        <v>0</v>
      </c>
      <c r="G17" s="21">
        <f>'4.Pref.Teoritis'!G18-'5.Pref.Nyata'!G17</f>
        <v>1.2474597882872877E-3</v>
      </c>
      <c r="H17" s="21">
        <f>'4.Pref.Teoritis'!H18-'5.Pref.Nyata'!H17</f>
        <v>4.1166173013480484E-3</v>
      </c>
      <c r="I17" s="21">
        <f>'4.Pref.Teoritis'!I18-'5.Pref.Nyata'!I17</f>
        <v>0</v>
      </c>
      <c r="J17" s="21">
        <f>'4.Pref.Teoritis'!J18-'5.Pref.Nyata'!J17</f>
        <v>4.5282790314828542E-3</v>
      </c>
      <c r="K17" s="21">
        <f>'4.Pref.Teoritis'!K18-'5.Pref.Nyata'!K17</f>
        <v>1.7010815294826644E-3</v>
      </c>
      <c r="L17" s="22">
        <f t="shared" si="0"/>
        <v>1.1593437650600854E-2</v>
      </c>
      <c r="M17" s="11">
        <f t="shared" si="1"/>
        <v>2</v>
      </c>
    </row>
    <row r="18" spans="1:13" ht="15" customHeight="1" x14ac:dyDescent="0.3">
      <c r="A18" s="4" t="s">
        <v>21</v>
      </c>
      <c r="B18" s="20">
        <f>'4.Pref.Teoritis'!B19-'5.Pref.Nyata'!B18</f>
        <v>0</v>
      </c>
      <c r="C18" s="20">
        <f>'4.Pref.Teoritis'!C19-'5.Pref.Nyata'!C18</f>
        <v>4.2007335148722619E-3</v>
      </c>
      <c r="D18" s="20">
        <f>'4.Pref.Teoritis'!D19-'5.Pref.Nyata'!D18</f>
        <v>7.2777708145161935E-3</v>
      </c>
      <c r="E18" s="20">
        <f>'4.Pref.Teoritis'!E19-'5.Pref.Nyata'!E18</f>
        <v>6.9312102995392321E-3</v>
      </c>
      <c r="F18" s="20">
        <f>'4.Pref.Teoritis'!F19-'5.Pref.Nyata'!F18</f>
        <v>2.4905534673155703E-3</v>
      </c>
      <c r="G18" s="20">
        <f>'4.Pref.Teoritis'!G19-'5.Pref.Nyata'!G18</f>
        <v>2.4949195765745749E-3</v>
      </c>
      <c r="H18" s="20">
        <f>'4.Pref.Teoritis'!H19-'5.Pref.Nyata'!H18</f>
        <v>4.1166173013480484E-3</v>
      </c>
      <c r="I18" s="20">
        <f>'4.Pref.Teoritis'!I19-'5.Pref.Nyata'!I18</f>
        <v>0</v>
      </c>
      <c r="J18" s="20">
        <f>'4.Pref.Teoritis'!J19-'5.Pref.Nyata'!J18</f>
        <v>2.2641395157414271E-3</v>
      </c>
      <c r="K18" s="20">
        <f>'4.Pref.Teoritis'!K19-'5.Pref.Nyata'!K18</f>
        <v>1.7010815294826644E-3</v>
      </c>
      <c r="L18" s="22">
        <f t="shared" si="0"/>
        <v>3.1477026019389974E-2</v>
      </c>
      <c r="M18" s="11">
        <f t="shared" si="1"/>
        <v>19</v>
      </c>
    </row>
    <row r="19" spans="1:13" x14ac:dyDescent="0.3">
      <c r="A19" s="7" t="s">
        <v>22</v>
      </c>
      <c r="B19" s="21">
        <f>'4.Pref.Teoritis'!B20-'5.Pref.Nyata'!B19</f>
        <v>0</v>
      </c>
      <c r="C19" s="21">
        <f>'4.Pref.Teoritis'!C20-'5.Pref.Nyata'!C19</f>
        <v>2.1003667574361314E-3</v>
      </c>
      <c r="D19" s="21">
        <f>'4.Pref.Teoritis'!D20-'5.Pref.Nyata'!D19</f>
        <v>7.2777708145161935E-3</v>
      </c>
      <c r="E19" s="21">
        <f>'4.Pref.Teoritis'!E20-'5.Pref.Nyata'!E19</f>
        <v>6.9312102995392321E-3</v>
      </c>
      <c r="F19" s="21">
        <f>'4.Pref.Teoritis'!F20-'5.Pref.Nyata'!F19</f>
        <v>4.9811069346311406E-3</v>
      </c>
      <c r="G19" s="21">
        <f>'4.Pref.Teoritis'!G20-'5.Pref.Nyata'!G19</f>
        <v>0</v>
      </c>
      <c r="H19" s="21">
        <f>'4.Pref.Teoritis'!H20-'5.Pref.Nyata'!H19</f>
        <v>0</v>
      </c>
      <c r="I19" s="21">
        <f>'4.Pref.Teoritis'!I20-'5.Pref.Nyata'!I19</f>
        <v>0</v>
      </c>
      <c r="J19" s="21">
        <f>'4.Pref.Teoritis'!J20-'5.Pref.Nyata'!J19</f>
        <v>2.2641395157414271E-3</v>
      </c>
      <c r="K19" s="21">
        <f>'4.Pref.Teoritis'!K20-'5.Pref.Nyata'!K19</f>
        <v>3.4021630589653289E-3</v>
      </c>
      <c r="L19" s="22">
        <f t="shared" si="0"/>
        <v>2.6956757380829453E-2</v>
      </c>
      <c r="M19" s="11">
        <f t="shared" si="1"/>
        <v>11</v>
      </c>
    </row>
    <row r="20" spans="1:13" x14ac:dyDescent="0.3">
      <c r="A20" s="4" t="s">
        <v>23</v>
      </c>
      <c r="B20" s="20">
        <f>'4.Pref.Teoritis'!B21-'5.Pref.Nyata'!B20</f>
        <v>0</v>
      </c>
      <c r="C20" s="20">
        <f>'4.Pref.Teoritis'!C21-'5.Pref.Nyata'!C20</f>
        <v>0</v>
      </c>
      <c r="D20" s="20">
        <f>'4.Pref.Teoritis'!D21-'5.Pref.Nyata'!D20</f>
        <v>7.2777708145161935E-3</v>
      </c>
      <c r="E20" s="20">
        <f>'4.Pref.Teoritis'!E21-'5.Pref.Nyata'!E20</f>
        <v>6.9312102995392321E-3</v>
      </c>
      <c r="F20" s="20">
        <f>'4.Pref.Teoritis'!F21-'5.Pref.Nyata'!F20</f>
        <v>0</v>
      </c>
      <c r="G20" s="20">
        <f>'4.Pref.Teoritis'!G21-'5.Pref.Nyata'!G20</f>
        <v>2.4949195765745749E-3</v>
      </c>
      <c r="H20" s="20">
        <f>'4.Pref.Teoritis'!H21-'5.Pref.Nyata'!H20</f>
        <v>4.1166173013480484E-3</v>
      </c>
      <c r="I20" s="20">
        <f>'4.Pref.Teoritis'!I21-'5.Pref.Nyata'!I20</f>
        <v>3.240155294252694E-3</v>
      </c>
      <c r="J20" s="20">
        <f>'4.Pref.Teoritis'!J21-'5.Pref.Nyata'!J20</f>
        <v>2.2641395157414271E-3</v>
      </c>
      <c r="K20" s="20">
        <f>'4.Pref.Teoritis'!K21-'5.Pref.Nyata'!K20</f>
        <v>1.7010815294826644E-3</v>
      </c>
      <c r="L20" s="22">
        <f t="shared" si="0"/>
        <v>2.8025894331454838E-2</v>
      </c>
      <c r="M20" s="11">
        <f t="shared" si="1"/>
        <v>13</v>
      </c>
    </row>
    <row r="21" spans="1:13" x14ac:dyDescent="0.3">
      <c r="A21" s="7" t="s">
        <v>24</v>
      </c>
      <c r="B21" s="21">
        <f>'4.Pref.Teoritis'!B22-'5.Pref.Nyata'!B21</f>
        <v>0</v>
      </c>
      <c r="C21" s="21">
        <f>'4.Pref.Teoritis'!C22-'5.Pref.Nyata'!C21</f>
        <v>2.1003667574361314E-3</v>
      </c>
      <c r="D21" s="21">
        <f>'4.Pref.Teoritis'!D22-'5.Pref.Nyata'!D21</f>
        <v>7.2777708145161935E-3</v>
      </c>
      <c r="E21" s="21">
        <f>'4.Pref.Teoritis'!E22-'5.Pref.Nyata'!E21</f>
        <v>6.9312102995392321E-3</v>
      </c>
      <c r="F21" s="21">
        <f>'4.Pref.Teoritis'!F22-'5.Pref.Nyata'!F21</f>
        <v>2.4905534673155703E-3</v>
      </c>
      <c r="G21" s="21">
        <f>'4.Pref.Teoritis'!G22-'5.Pref.Nyata'!G21</f>
        <v>0</v>
      </c>
      <c r="H21" s="21">
        <f>'4.Pref.Teoritis'!H22-'5.Pref.Nyata'!H21</f>
        <v>4.1166173013480484E-3</v>
      </c>
      <c r="I21" s="21">
        <f>'4.Pref.Teoritis'!I22-'5.Pref.Nyata'!I21</f>
        <v>3.240155294252694E-3</v>
      </c>
      <c r="J21" s="21">
        <f>'4.Pref.Teoritis'!J22-'5.Pref.Nyata'!J21</f>
        <v>3.3962092736121406E-3</v>
      </c>
      <c r="K21" s="21">
        <f>'4.Pref.Teoritis'!K22-'5.Pref.Nyata'!K21</f>
        <v>1.7010815294826644E-3</v>
      </c>
      <c r="L21" s="22">
        <f t="shared" si="0"/>
        <v>3.1253964737502672E-2</v>
      </c>
      <c r="M21" s="11">
        <f t="shared" si="1"/>
        <v>18</v>
      </c>
    </row>
    <row r="22" spans="1:13" x14ac:dyDescent="0.3">
      <c r="A22" s="4" t="s">
        <v>25</v>
      </c>
      <c r="B22" s="20">
        <f>'4.Pref.Teoritis'!B23-'5.Pref.Nyata'!B22</f>
        <v>0</v>
      </c>
      <c r="C22" s="20">
        <f>'4.Pref.Teoritis'!C23-'5.Pref.Nyata'!C22</f>
        <v>4.2007335148722619E-3</v>
      </c>
      <c r="D22" s="20">
        <f>'4.Pref.Teoritis'!D23-'5.Pref.Nyata'!D22</f>
        <v>7.2777708145161935E-3</v>
      </c>
      <c r="E22" s="20">
        <f>'4.Pref.Teoritis'!E23-'5.Pref.Nyata'!E22</f>
        <v>6.9312102995392321E-3</v>
      </c>
      <c r="F22" s="20">
        <f>'4.Pref.Teoritis'!F23-'5.Pref.Nyata'!F22</f>
        <v>4.9811069346311406E-3</v>
      </c>
      <c r="G22" s="20">
        <f>'4.Pref.Teoritis'!G23-'5.Pref.Nyata'!G22</f>
        <v>0</v>
      </c>
      <c r="H22" s="20">
        <f>'4.Pref.Teoritis'!H23-'5.Pref.Nyata'!H22</f>
        <v>4.1166173013480484E-3</v>
      </c>
      <c r="I22" s="20">
        <f>'4.Pref.Teoritis'!I23-'5.Pref.Nyata'!I22</f>
        <v>0</v>
      </c>
      <c r="J22" s="20">
        <f>'4.Pref.Teoritis'!J23-'5.Pref.Nyata'!J22</f>
        <v>0</v>
      </c>
      <c r="K22" s="20">
        <f>'4.Pref.Teoritis'!K23-'5.Pref.Nyata'!K22</f>
        <v>1.7010815294826644E-3</v>
      </c>
      <c r="L22" s="22">
        <f t="shared" si="0"/>
        <v>2.9208520394389544E-2</v>
      </c>
      <c r="M22" s="11">
        <f t="shared" si="1"/>
        <v>14</v>
      </c>
    </row>
    <row r="23" spans="1:13" x14ac:dyDescent="0.3">
      <c r="A23" s="7" t="s">
        <v>26</v>
      </c>
      <c r="B23" s="21">
        <f>'4.Pref.Teoritis'!B24-'5.Pref.Nyata'!B23</f>
        <v>0</v>
      </c>
      <c r="C23" s="21">
        <f>'4.Pref.Teoritis'!C24-'5.Pref.Nyata'!C23</f>
        <v>2.1003667574361314E-3</v>
      </c>
      <c r="D23" s="21">
        <f>'4.Pref.Teoritis'!D24-'5.Pref.Nyata'!D23</f>
        <v>7.2777708145161935E-3</v>
      </c>
      <c r="E23" s="21">
        <f>'4.Pref.Teoritis'!E24-'5.Pref.Nyata'!E23</f>
        <v>6.9312102995392321E-3</v>
      </c>
      <c r="F23" s="21">
        <f>'4.Pref.Teoritis'!F24-'5.Pref.Nyata'!F23</f>
        <v>2.4905534673155703E-3</v>
      </c>
      <c r="G23" s="21">
        <f>'4.Pref.Teoritis'!G24-'5.Pref.Nyata'!G23</f>
        <v>3.7423793648618622E-3</v>
      </c>
      <c r="H23" s="21">
        <f>'4.Pref.Teoritis'!H24-'5.Pref.Nyata'!H23</f>
        <v>4.1166173013480484E-3</v>
      </c>
      <c r="I23" s="21">
        <f>'4.Pref.Teoritis'!I24-'5.Pref.Nyata'!I23</f>
        <v>0</v>
      </c>
      <c r="J23" s="21">
        <f>'4.Pref.Teoritis'!J24-'5.Pref.Nyata'!J23</f>
        <v>4.5282790314828542E-3</v>
      </c>
      <c r="K23" s="21">
        <f>'4.Pref.Teoritis'!K24-'5.Pref.Nyata'!K23</f>
        <v>1.7010815294826644E-3</v>
      </c>
      <c r="L23" s="22">
        <f t="shared" si="0"/>
        <v>3.2888258565982556E-2</v>
      </c>
      <c r="M23" s="11">
        <f t="shared" si="1"/>
        <v>20</v>
      </c>
    </row>
  </sheetData>
  <mergeCells count="2">
    <mergeCell ref="A2:M2"/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7"/>
  <sheetViews>
    <sheetView showGridLines="0" zoomScaleNormal="100" workbookViewId="0">
      <selection activeCell="H15" sqref="H15"/>
    </sheetView>
  </sheetViews>
  <sheetFormatPr defaultColWidth="8.6640625" defaultRowHeight="14.4" x14ac:dyDescent="0.3"/>
  <cols>
    <col min="1" max="1" width="8" customWidth="1"/>
    <col min="2" max="2" width="13" customWidth="1"/>
    <col min="3" max="3" width="15" customWidth="1"/>
    <col min="4" max="4" width="10" customWidth="1"/>
    <col min="5" max="5" width="25" customWidth="1"/>
  </cols>
  <sheetData>
    <row r="1" spans="1:5" ht="15" customHeight="1" x14ac:dyDescent="0.3">
      <c r="A1" s="59" t="s">
        <v>0</v>
      </c>
      <c r="B1" s="57"/>
      <c r="C1" s="57"/>
      <c r="D1" s="57"/>
      <c r="E1" s="58"/>
    </row>
    <row r="2" spans="1:5" ht="23.85" customHeight="1" x14ac:dyDescent="0.3">
      <c r="A2" s="56" t="s">
        <v>1</v>
      </c>
      <c r="B2" s="57"/>
      <c r="C2" s="57"/>
      <c r="D2" s="57"/>
      <c r="E2" s="58"/>
    </row>
    <row r="3" spans="1:5" ht="1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5" customHeight="1" x14ac:dyDescent="0.3">
      <c r="A4" s="2">
        <v>1</v>
      </c>
      <c r="B4" s="4" t="s">
        <v>7</v>
      </c>
      <c r="C4" s="20">
        <f>'6.Gap'!L4</f>
        <v>1.3414641619315116E-2</v>
      </c>
      <c r="D4" s="23">
        <f>'6.Gap'!M4</f>
        <v>3</v>
      </c>
      <c r="E4" s="3" t="str">
        <f t="shared" ref="E4:E23" si="0">IF(D4=1,"★ Peringkat 1 – Sangat Direkomendasikan",IF(D4&lt;=3,"Sangat Direkomendasikan",IF(D4&lt;=7,"Direkomendasikan","Pertimbangkan")))</f>
        <v>Sangat Direkomendasikan</v>
      </c>
    </row>
    <row r="5" spans="1:5" ht="15" customHeight="1" x14ac:dyDescent="0.3">
      <c r="A5" s="5">
        <v>2</v>
      </c>
      <c r="B5" s="7" t="s">
        <v>8</v>
      </c>
      <c r="C5" s="21">
        <f>'6.Gap'!L5</f>
        <v>2.2601349625725922E-2</v>
      </c>
      <c r="D5" s="24">
        <f>'6.Gap'!M5</f>
        <v>6</v>
      </c>
      <c r="E5" s="6" t="str">
        <f t="shared" si="0"/>
        <v>Direkomendasikan</v>
      </c>
    </row>
    <row r="6" spans="1:5" ht="23.85" customHeight="1" x14ac:dyDescent="0.3">
      <c r="A6" s="2">
        <v>3</v>
      </c>
      <c r="B6" s="4" t="s">
        <v>9</v>
      </c>
      <c r="C6" s="20">
        <f>'6.Gap'!L6</f>
        <v>7.9871294983638423E-3</v>
      </c>
      <c r="D6" s="23">
        <f>'6.Gap'!M6</f>
        <v>1</v>
      </c>
      <c r="E6" s="3" t="str">
        <f t="shared" si="0"/>
        <v>★ Peringkat 1 – Sangat Direkomendasikan</v>
      </c>
    </row>
    <row r="7" spans="1:5" ht="15" customHeight="1" x14ac:dyDescent="0.3">
      <c r="A7" s="5">
        <v>4</v>
      </c>
      <c r="B7" s="7" t="s">
        <v>10</v>
      </c>
      <c r="C7" s="21">
        <f>'6.Gap'!L7</f>
        <v>3.0969266224464449E-2</v>
      </c>
      <c r="D7" s="24">
        <f>'6.Gap'!M7</f>
        <v>16</v>
      </c>
      <c r="E7" s="6" t="str">
        <f t="shared" si="0"/>
        <v>Pertimbangkan</v>
      </c>
    </row>
    <row r="8" spans="1:5" ht="15" customHeight="1" x14ac:dyDescent="0.3">
      <c r="A8" s="2">
        <v>5</v>
      </c>
      <c r="B8" s="4" t="s">
        <v>11</v>
      </c>
      <c r="C8" s="20">
        <f>'6.Gap'!L8</f>
        <v>1.3756445601305832E-2</v>
      </c>
      <c r="D8" s="23">
        <f>'6.Gap'!M8</f>
        <v>4</v>
      </c>
      <c r="E8" s="3" t="str">
        <f t="shared" si="0"/>
        <v>Direkomendasikan</v>
      </c>
    </row>
    <row r="9" spans="1:5" ht="15" customHeight="1" x14ac:dyDescent="0.3">
      <c r="A9" s="5">
        <v>6</v>
      </c>
      <c r="B9" s="7" t="s">
        <v>12</v>
      </c>
      <c r="C9" s="21">
        <f>'6.Gap'!L9</f>
        <v>3.0504362910565547E-2</v>
      </c>
      <c r="D9" s="24">
        <f>'6.Gap'!M9</f>
        <v>15</v>
      </c>
      <c r="E9" s="6" t="str">
        <f t="shared" si="0"/>
        <v>Pertimbangkan</v>
      </c>
    </row>
    <row r="10" spans="1:5" ht="15" customHeight="1" x14ac:dyDescent="0.3">
      <c r="A10" s="2">
        <v>7</v>
      </c>
      <c r="B10" s="4" t="s">
        <v>13</v>
      </c>
      <c r="C10" s="20">
        <f>'6.Gap'!L10</f>
        <v>2.5359483217629111E-2</v>
      </c>
      <c r="D10" s="23">
        <f>'6.Gap'!M10</f>
        <v>10</v>
      </c>
      <c r="E10" s="3" t="str">
        <f t="shared" si="0"/>
        <v>Pertimbangkan</v>
      </c>
    </row>
    <row r="11" spans="1:5" ht="15" customHeight="1" x14ac:dyDescent="0.3">
      <c r="A11" s="5">
        <v>8</v>
      </c>
      <c r="B11" s="7" t="s">
        <v>14</v>
      </c>
      <c r="C11" s="21">
        <f>'6.Gap'!L11</f>
        <v>2.3071772186536447E-2</v>
      </c>
      <c r="D11" s="24">
        <f>'6.Gap'!M11</f>
        <v>7</v>
      </c>
      <c r="E11" s="6" t="str">
        <f t="shared" si="0"/>
        <v>Direkomendasikan</v>
      </c>
    </row>
    <row r="12" spans="1:5" ht="15" customHeight="1" x14ac:dyDescent="0.3">
      <c r="A12" s="2">
        <v>9</v>
      </c>
      <c r="B12" s="4" t="s">
        <v>15</v>
      </c>
      <c r="C12" s="20">
        <f>'6.Gap'!L12</f>
        <v>2.3182965901146879E-2</v>
      </c>
      <c r="D12" s="23">
        <f>'6.Gap'!M12</f>
        <v>8</v>
      </c>
      <c r="E12" s="3" t="str">
        <f t="shared" si="0"/>
        <v>Pertimbangkan</v>
      </c>
    </row>
    <row r="13" spans="1:5" ht="15" customHeight="1" x14ac:dyDescent="0.3">
      <c r="A13" s="5">
        <v>10</v>
      </c>
      <c r="B13" s="7" t="s">
        <v>16</v>
      </c>
      <c r="C13" s="21">
        <f>'6.Gap'!L13</f>
        <v>2.4752282165680276E-2</v>
      </c>
      <c r="D13" s="24">
        <f>'6.Gap'!M13</f>
        <v>9</v>
      </c>
      <c r="E13" s="6" t="str">
        <f t="shared" si="0"/>
        <v>Pertimbangkan</v>
      </c>
    </row>
    <row r="14" spans="1:5" ht="15" customHeight="1" x14ac:dyDescent="0.3">
      <c r="A14" s="2">
        <v>11</v>
      </c>
      <c r="B14" s="4" t="s">
        <v>17</v>
      </c>
      <c r="C14" s="20">
        <f>'6.Gap'!L14</f>
        <v>2.7573056950852312E-2</v>
      </c>
      <c r="D14" s="23">
        <f>'6.Gap'!M14</f>
        <v>12</v>
      </c>
      <c r="E14" s="3" t="str">
        <f t="shared" si="0"/>
        <v>Pertimbangkan</v>
      </c>
    </row>
    <row r="15" spans="1:5" ht="15" customHeight="1" x14ac:dyDescent="0.3">
      <c r="A15" s="5">
        <v>12</v>
      </c>
      <c r="B15" s="7" t="s">
        <v>18</v>
      </c>
      <c r="C15" s="21">
        <f>'6.Gap'!L15</f>
        <v>1.710427214702925E-2</v>
      </c>
      <c r="D15" s="24">
        <f>'6.Gap'!M15</f>
        <v>5</v>
      </c>
      <c r="E15" s="6" t="str">
        <f t="shared" si="0"/>
        <v>Direkomendasikan</v>
      </c>
    </row>
    <row r="16" spans="1:5" ht="15" customHeight="1" x14ac:dyDescent="0.3">
      <c r="A16" s="2">
        <v>13</v>
      </c>
      <c r="B16" s="4" t="s">
        <v>19</v>
      </c>
      <c r="C16" s="20">
        <f>'6.Gap'!L16</f>
        <v>3.108247320025153E-2</v>
      </c>
      <c r="D16" s="23">
        <f>'6.Gap'!M16</f>
        <v>17</v>
      </c>
      <c r="E16" s="3" t="str">
        <f t="shared" si="0"/>
        <v>Pertimbangkan</v>
      </c>
    </row>
    <row r="17" spans="1:5" ht="15" customHeight="1" x14ac:dyDescent="0.3">
      <c r="A17" s="5">
        <v>14</v>
      </c>
      <c r="B17" s="7" t="s">
        <v>20</v>
      </c>
      <c r="C17" s="21">
        <f>'6.Gap'!L17</f>
        <v>1.1593437650600854E-2</v>
      </c>
      <c r="D17" s="24">
        <f>'6.Gap'!M17</f>
        <v>2</v>
      </c>
      <c r="E17" s="6" t="str">
        <f t="shared" si="0"/>
        <v>Sangat Direkomendasikan</v>
      </c>
    </row>
    <row r="18" spans="1:5" ht="15" customHeight="1" x14ac:dyDescent="0.3">
      <c r="A18" s="2">
        <v>15</v>
      </c>
      <c r="B18" s="4" t="s">
        <v>21</v>
      </c>
      <c r="C18" s="20">
        <f>'6.Gap'!L18</f>
        <v>3.1477026019389974E-2</v>
      </c>
      <c r="D18" s="23">
        <f>'6.Gap'!M18</f>
        <v>19</v>
      </c>
      <c r="E18" s="3" t="str">
        <f t="shared" si="0"/>
        <v>Pertimbangkan</v>
      </c>
    </row>
    <row r="19" spans="1:5" x14ac:dyDescent="0.3">
      <c r="A19" s="5">
        <v>16</v>
      </c>
      <c r="B19" s="7" t="s">
        <v>22</v>
      </c>
      <c r="C19" s="21">
        <f>'6.Gap'!L19</f>
        <v>2.6956757380829453E-2</v>
      </c>
      <c r="D19" s="24">
        <f>'6.Gap'!M19</f>
        <v>11</v>
      </c>
      <c r="E19" s="6" t="str">
        <f t="shared" si="0"/>
        <v>Pertimbangkan</v>
      </c>
    </row>
    <row r="20" spans="1:5" x14ac:dyDescent="0.3">
      <c r="A20" s="2">
        <v>17</v>
      </c>
      <c r="B20" s="4" t="s">
        <v>23</v>
      </c>
      <c r="C20" s="20">
        <f>'6.Gap'!L20</f>
        <v>2.8025894331454838E-2</v>
      </c>
      <c r="D20" s="23">
        <f>'6.Gap'!M20</f>
        <v>13</v>
      </c>
      <c r="E20" s="3" t="str">
        <f t="shared" si="0"/>
        <v>Pertimbangkan</v>
      </c>
    </row>
    <row r="21" spans="1:5" ht="15" customHeight="1" x14ac:dyDescent="0.3">
      <c r="A21" s="5">
        <v>18</v>
      </c>
      <c r="B21" s="7" t="s">
        <v>24</v>
      </c>
      <c r="C21" s="21">
        <f>'6.Gap'!L21</f>
        <v>3.1253964737502672E-2</v>
      </c>
      <c r="D21" s="24">
        <f>'6.Gap'!M21</f>
        <v>18</v>
      </c>
      <c r="E21" s="6" t="str">
        <f t="shared" si="0"/>
        <v>Pertimbangkan</v>
      </c>
    </row>
    <row r="22" spans="1:5" ht="15" customHeight="1" x14ac:dyDescent="0.3">
      <c r="A22" s="2">
        <v>19</v>
      </c>
      <c r="B22" s="4" t="s">
        <v>25</v>
      </c>
      <c r="C22" s="20">
        <f>'6.Gap'!L22</f>
        <v>2.9208520394389544E-2</v>
      </c>
      <c r="D22" s="23">
        <f>'6.Gap'!M22</f>
        <v>14</v>
      </c>
      <c r="E22" s="3" t="str">
        <f t="shared" si="0"/>
        <v>Pertimbangkan</v>
      </c>
    </row>
    <row r="23" spans="1:5" ht="23.85" customHeight="1" x14ac:dyDescent="0.3">
      <c r="A23" s="5">
        <v>20</v>
      </c>
      <c r="B23" s="7" t="s">
        <v>26</v>
      </c>
      <c r="C23" s="21">
        <f>'6.Gap'!L23</f>
        <v>3.2888258565982556E-2</v>
      </c>
      <c r="D23" s="24">
        <f>'6.Gap'!M23</f>
        <v>20</v>
      </c>
      <c r="E23" s="6" t="str">
        <f t="shared" si="0"/>
        <v>Pertimbangkan</v>
      </c>
    </row>
    <row r="24" spans="1:5" ht="15" customHeight="1" x14ac:dyDescent="0.3"/>
    <row r="25" spans="1:5" ht="15" customHeight="1" x14ac:dyDescent="0.3"/>
    <row r="26" spans="1:5" ht="15" customHeight="1" x14ac:dyDescent="0.3">
      <c r="A26" s="60" t="s">
        <v>27</v>
      </c>
      <c r="B26" s="57"/>
      <c r="C26" s="57"/>
      <c r="D26" s="57"/>
      <c r="E26" s="58"/>
    </row>
    <row r="27" spans="1:5" ht="23.85" customHeight="1" x14ac:dyDescent="0.3">
      <c r="A27" s="1" t="s">
        <v>2</v>
      </c>
      <c r="B27" s="1" t="s">
        <v>28</v>
      </c>
      <c r="C27" s="1" t="s">
        <v>29</v>
      </c>
      <c r="D27" s="1" t="s">
        <v>30</v>
      </c>
      <c r="E27" s="1" t="s">
        <v>31</v>
      </c>
    </row>
    <row r="28" spans="1:5" ht="33.6" customHeight="1" x14ac:dyDescent="0.3">
      <c r="A28" s="2" t="s">
        <v>32</v>
      </c>
      <c r="B28" s="4" t="s">
        <v>33</v>
      </c>
      <c r="C28" s="3" t="s">
        <v>34</v>
      </c>
      <c r="D28" s="2" t="s">
        <v>35</v>
      </c>
      <c r="E28" s="13">
        <f>'2.SWARA'!F19</f>
        <v>0.10958435256188509</v>
      </c>
    </row>
    <row r="29" spans="1:5" ht="30.6" customHeight="1" x14ac:dyDescent="0.3">
      <c r="A29" s="52" t="s">
        <v>36</v>
      </c>
      <c r="B29" s="53" t="s">
        <v>37</v>
      </c>
      <c r="C29" s="54" t="s">
        <v>38</v>
      </c>
      <c r="D29" s="52" t="s">
        <v>35</v>
      </c>
      <c r="E29" s="55">
        <f>'2.SWARA'!F20</f>
        <v>0.12602200544616785</v>
      </c>
    </row>
    <row r="30" spans="1:5" ht="31.2" customHeight="1" x14ac:dyDescent="0.3">
      <c r="A30" s="52" t="s">
        <v>39</v>
      </c>
      <c r="B30" s="53" t="s">
        <v>40</v>
      </c>
      <c r="C30" s="54" t="s">
        <v>41</v>
      </c>
      <c r="D30" s="52" t="s">
        <v>35</v>
      </c>
      <c r="E30" s="55">
        <f>'2.SWARA'!F21</f>
        <v>0.14555541629032387</v>
      </c>
    </row>
    <row r="31" spans="1:5" ht="28.2" customHeight="1" x14ac:dyDescent="0.3">
      <c r="A31" s="52" t="s">
        <v>42</v>
      </c>
      <c r="B31" s="53" t="s">
        <v>43</v>
      </c>
      <c r="C31" s="54" t="s">
        <v>44</v>
      </c>
      <c r="D31" s="52" t="s">
        <v>35</v>
      </c>
      <c r="E31" s="55">
        <f>'2.SWARA'!F22</f>
        <v>0.13862420599078465</v>
      </c>
    </row>
    <row r="32" spans="1:5" ht="45" customHeight="1" x14ac:dyDescent="0.3">
      <c r="A32" s="52" t="s">
        <v>45</v>
      </c>
      <c r="B32" s="53" t="s">
        <v>46</v>
      </c>
      <c r="C32" s="54" t="s">
        <v>47</v>
      </c>
      <c r="D32" s="52" t="s">
        <v>48</v>
      </c>
      <c r="E32" s="55">
        <f>'2.SWARA'!F23</f>
        <v>9.9622138692622805E-2</v>
      </c>
    </row>
    <row r="33" spans="1:5" ht="26.4" x14ac:dyDescent="0.3">
      <c r="A33" s="52" t="s">
        <v>49</v>
      </c>
      <c r="B33" s="53" t="s">
        <v>50</v>
      </c>
      <c r="C33" s="54" t="s">
        <v>51</v>
      </c>
      <c r="D33" s="52" t="s">
        <v>48</v>
      </c>
      <c r="E33" s="55">
        <f>'2.SWARA'!F24</f>
        <v>7.4847587297237242E-2</v>
      </c>
    </row>
    <row r="34" spans="1:5" ht="39.6" x14ac:dyDescent="0.3">
      <c r="A34" s="52" t="s">
        <v>52</v>
      </c>
      <c r="B34" s="53" t="s">
        <v>53</v>
      </c>
      <c r="C34" s="54" t="s">
        <v>54</v>
      </c>
      <c r="D34" s="52" t="s">
        <v>48</v>
      </c>
      <c r="E34" s="55">
        <f>'2.SWARA'!F25</f>
        <v>8.2332346026960976E-2</v>
      </c>
    </row>
    <row r="35" spans="1:5" ht="26.4" x14ac:dyDescent="0.3">
      <c r="A35" s="52" t="s">
        <v>55</v>
      </c>
      <c r="B35" s="53" t="s">
        <v>56</v>
      </c>
      <c r="C35" s="54" t="s">
        <v>57</v>
      </c>
      <c r="D35" s="52" t="s">
        <v>48</v>
      </c>
      <c r="E35" s="55">
        <f>'2.SWARA'!F26</f>
        <v>6.4803105885053877E-2</v>
      </c>
    </row>
    <row r="36" spans="1:5" ht="26.4" x14ac:dyDescent="0.3">
      <c r="A36" s="52" t="s">
        <v>58</v>
      </c>
      <c r="B36" s="53" t="s">
        <v>59</v>
      </c>
      <c r="C36" s="54" t="s">
        <v>60</v>
      </c>
      <c r="D36" s="52" t="s">
        <v>48</v>
      </c>
      <c r="E36" s="55">
        <f>'2.SWARA'!F27</f>
        <v>9.0565580629657083E-2</v>
      </c>
    </row>
    <row r="37" spans="1:5" ht="26.4" customHeight="1" x14ac:dyDescent="0.3">
      <c r="A37" s="52" t="s">
        <v>61</v>
      </c>
      <c r="B37" s="53" t="s">
        <v>62</v>
      </c>
      <c r="C37" s="54" t="s">
        <v>63</v>
      </c>
      <c r="D37" s="52" t="s">
        <v>48</v>
      </c>
      <c r="E37" s="55">
        <f>'2.SWARA'!F28</f>
        <v>6.8043261179306577E-2</v>
      </c>
    </row>
  </sheetData>
  <mergeCells count="3">
    <mergeCell ref="A2:E2"/>
    <mergeCell ref="A1:E1"/>
    <mergeCell ref="A26:E2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5"/>
  <sheetViews>
    <sheetView tabSelected="1" topLeftCell="A16" workbookViewId="0">
      <selection activeCell="I31" sqref="I31"/>
    </sheetView>
  </sheetViews>
  <sheetFormatPr defaultRowHeight="14.4" x14ac:dyDescent="0.3"/>
  <cols>
    <col min="1" max="1" width="14" customWidth="1"/>
    <col min="2" max="7" width="12" customWidth="1"/>
    <col min="8" max="9" width="14" customWidth="1"/>
    <col min="10" max="10" width="12" customWidth="1"/>
    <col min="11" max="11" width="24" customWidth="1"/>
    <col min="12" max="12" width="14" customWidth="1"/>
    <col min="13" max="13" width="17" customWidth="1"/>
    <col min="14" max="14" width="14" customWidth="1"/>
    <col min="15" max="15" width="16" customWidth="1"/>
    <col min="16" max="16" width="14" customWidth="1"/>
    <col min="17" max="17" width="20" customWidth="1"/>
    <col min="18" max="18" width="14" customWidth="1"/>
  </cols>
  <sheetData>
    <row r="1" spans="1:18" ht="25.05" customHeight="1" x14ac:dyDescent="0.3">
      <c r="A1" s="63" t="s">
        <v>101</v>
      </c>
      <c r="B1" s="64"/>
      <c r="C1" s="64"/>
      <c r="D1" s="64"/>
      <c r="E1" s="64"/>
      <c r="F1" s="64"/>
      <c r="G1" s="64"/>
      <c r="H1" s="64"/>
      <c r="I1" s="64"/>
    </row>
    <row r="2" spans="1:18" ht="19.95" customHeight="1" x14ac:dyDescent="0.3">
      <c r="A2" s="66" t="s">
        <v>102</v>
      </c>
      <c r="B2" s="64"/>
      <c r="C2" s="64"/>
      <c r="D2" s="64"/>
      <c r="E2" s="64"/>
      <c r="F2" s="64"/>
      <c r="G2" s="64"/>
      <c r="H2" s="64"/>
      <c r="I2" s="64"/>
    </row>
    <row r="4" spans="1:18" x14ac:dyDescent="0.3">
      <c r="A4" s="25" t="s">
        <v>103</v>
      </c>
      <c r="K4" s="25" t="s">
        <v>104</v>
      </c>
    </row>
    <row r="5" spans="1:18" ht="24" customHeight="1" x14ac:dyDescent="0.3">
      <c r="A5" s="26" t="s">
        <v>3</v>
      </c>
      <c r="B5" s="26" t="s">
        <v>105</v>
      </c>
      <c r="C5" s="26" t="s">
        <v>106</v>
      </c>
      <c r="D5" s="26" t="s">
        <v>107</v>
      </c>
      <c r="E5" s="26" t="s">
        <v>108</v>
      </c>
      <c r="F5" s="26" t="s">
        <v>109</v>
      </c>
      <c r="G5" s="26" t="s">
        <v>110</v>
      </c>
      <c r="H5" s="26" t="s">
        <v>111</v>
      </c>
      <c r="I5" s="26" t="s">
        <v>112</v>
      </c>
      <c r="K5" s="26" t="s">
        <v>113</v>
      </c>
      <c r="L5" s="26" t="s">
        <v>114</v>
      </c>
      <c r="M5" s="26" t="s">
        <v>115</v>
      </c>
      <c r="N5" s="26" t="s">
        <v>116</v>
      </c>
      <c r="O5" s="26" t="s">
        <v>117</v>
      </c>
      <c r="P5" s="26" t="s">
        <v>118</v>
      </c>
      <c r="Q5" s="26" t="s">
        <v>119</v>
      </c>
      <c r="R5" s="26" t="s">
        <v>120</v>
      </c>
    </row>
    <row r="6" spans="1:18" ht="19.95" customHeight="1" x14ac:dyDescent="0.3">
      <c r="A6" s="27" t="s">
        <v>7</v>
      </c>
      <c r="B6" s="28">
        <v>16.8</v>
      </c>
      <c r="C6" s="29">
        <f t="shared" ref="C6:C25" si="0">RANK(B6,$B$6:$B$25,0)</f>
        <v>3</v>
      </c>
      <c r="D6" s="30">
        <v>66.805999999999997</v>
      </c>
      <c r="E6" s="29">
        <f t="shared" ref="E6:E25" si="1">RANK(D6,$D$6:$D$25,0)</f>
        <v>2</v>
      </c>
      <c r="F6" s="31">
        <v>0.72865599999999997</v>
      </c>
      <c r="G6" s="29">
        <f t="shared" ref="G6:G25" si="2">RANK(F6,$F$6:$F$25,0)</f>
        <v>3</v>
      </c>
      <c r="H6" s="31">
        <f>'7.Hasil'!C4</f>
        <v>1.3414641619315116E-2</v>
      </c>
      <c r="I6" s="29">
        <f>'7.Hasil'!D4</f>
        <v>3</v>
      </c>
      <c r="K6" s="27" t="s">
        <v>7</v>
      </c>
      <c r="L6" s="27">
        <f t="shared" ref="L6:L25" si="3">I6</f>
        <v>3</v>
      </c>
      <c r="M6" s="27">
        <f t="shared" ref="M6:M25" si="4">C6</f>
        <v>3</v>
      </c>
      <c r="N6" s="32">
        <f t="shared" ref="N6:N25" si="5">(L6-M6)^2</f>
        <v>0</v>
      </c>
      <c r="O6" s="27">
        <f t="shared" ref="O6:O25" si="6">E6</f>
        <v>2</v>
      </c>
      <c r="P6" s="32">
        <f t="shared" ref="P6:P25" si="7">(L6-O6)^2</f>
        <v>1</v>
      </c>
      <c r="Q6" s="27">
        <f t="shared" ref="Q6:Q25" si="8">G6</f>
        <v>3</v>
      </c>
      <c r="R6" s="32">
        <f t="shared" ref="R6:R25" si="9">(L6-Q6)^2</f>
        <v>0</v>
      </c>
    </row>
    <row r="7" spans="1:18" ht="19.95" customHeight="1" x14ac:dyDescent="0.3">
      <c r="A7" s="33" t="s">
        <v>8</v>
      </c>
      <c r="B7" s="34">
        <v>13.77</v>
      </c>
      <c r="C7" s="35">
        <f t="shared" si="0"/>
        <v>9</v>
      </c>
      <c r="D7" s="36">
        <v>49.832999999999998</v>
      </c>
      <c r="E7" s="35">
        <f t="shared" si="1"/>
        <v>9</v>
      </c>
      <c r="F7" s="37">
        <v>0.49106</v>
      </c>
      <c r="G7" s="35">
        <f t="shared" si="2"/>
        <v>10</v>
      </c>
      <c r="H7" s="37">
        <f>'7.Hasil'!C5</f>
        <v>2.2601349625725922E-2</v>
      </c>
      <c r="I7" s="35">
        <f>'7.Hasil'!D5</f>
        <v>6</v>
      </c>
      <c r="K7" s="33" t="s">
        <v>8</v>
      </c>
      <c r="L7" s="33">
        <f t="shared" si="3"/>
        <v>6</v>
      </c>
      <c r="M7" s="33">
        <f t="shared" si="4"/>
        <v>9</v>
      </c>
      <c r="N7" s="38">
        <f t="shared" si="5"/>
        <v>9</v>
      </c>
      <c r="O7" s="33">
        <f t="shared" si="6"/>
        <v>9</v>
      </c>
      <c r="P7" s="38">
        <f t="shared" si="7"/>
        <v>9</v>
      </c>
      <c r="Q7" s="33">
        <f t="shared" si="8"/>
        <v>10</v>
      </c>
      <c r="R7" s="38">
        <f t="shared" si="9"/>
        <v>16</v>
      </c>
    </row>
    <row r="8" spans="1:18" ht="19.95" customHeight="1" x14ac:dyDescent="0.3">
      <c r="A8" s="27" t="s">
        <v>9</v>
      </c>
      <c r="B8" s="28">
        <v>17.32</v>
      </c>
      <c r="C8" s="29">
        <f t="shared" si="0"/>
        <v>1</v>
      </c>
      <c r="D8" s="30">
        <v>69.343000000000004</v>
      </c>
      <c r="E8" s="29">
        <f t="shared" si="1"/>
        <v>1</v>
      </c>
      <c r="F8" s="31">
        <v>0.76533700000000005</v>
      </c>
      <c r="G8" s="29">
        <f t="shared" si="2"/>
        <v>1</v>
      </c>
      <c r="H8" s="31">
        <f>'7.Hasil'!C6</f>
        <v>7.9871294983638423E-3</v>
      </c>
      <c r="I8" s="29">
        <f>'7.Hasil'!D6</f>
        <v>1</v>
      </c>
      <c r="K8" s="27" t="s">
        <v>9</v>
      </c>
      <c r="L8" s="27">
        <f t="shared" si="3"/>
        <v>1</v>
      </c>
      <c r="M8" s="27">
        <f t="shared" si="4"/>
        <v>1</v>
      </c>
      <c r="N8" s="32">
        <f t="shared" si="5"/>
        <v>0</v>
      </c>
      <c r="O8" s="27">
        <f t="shared" si="6"/>
        <v>1</v>
      </c>
      <c r="P8" s="32">
        <f t="shared" si="7"/>
        <v>0</v>
      </c>
      <c r="Q8" s="27">
        <f t="shared" si="8"/>
        <v>1</v>
      </c>
      <c r="R8" s="32">
        <f t="shared" si="9"/>
        <v>0</v>
      </c>
    </row>
    <row r="9" spans="1:18" ht="19.95" customHeight="1" x14ac:dyDescent="0.3">
      <c r="A9" s="33" t="s">
        <v>10</v>
      </c>
      <c r="B9" s="34">
        <v>12</v>
      </c>
      <c r="C9" s="35">
        <f t="shared" si="0"/>
        <v>17</v>
      </c>
      <c r="D9" s="36">
        <v>42.512</v>
      </c>
      <c r="E9" s="35">
        <f t="shared" si="1"/>
        <v>17</v>
      </c>
      <c r="F9" s="37">
        <v>0.460397</v>
      </c>
      <c r="G9" s="35">
        <f t="shared" si="2"/>
        <v>15</v>
      </c>
      <c r="H9" s="37">
        <f>'7.Hasil'!C7</f>
        <v>3.0969266224464449E-2</v>
      </c>
      <c r="I9" s="35">
        <f>'7.Hasil'!D7</f>
        <v>16</v>
      </c>
      <c r="K9" s="33" t="s">
        <v>10</v>
      </c>
      <c r="L9" s="33">
        <f t="shared" si="3"/>
        <v>16</v>
      </c>
      <c r="M9" s="33">
        <f t="shared" si="4"/>
        <v>17</v>
      </c>
      <c r="N9" s="38">
        <f t="shared" si="5"/>
        <v>1</v>
      </c>
      <c r="O9" s="33">
        <f t="shared" si="6"/>
        <v>17</v>
      </c>
      <c r="P9" s="38">
        <f t="shared" si="7"/>
        <v>1</v>
      </c>
      <c r="Q9" s="33">
        <f t="shared" si="8"/>
        <v>15</v>
      </c>
      <c r="R9" s="38">
        <f t="shared" si="9"/>
        <v>1</v>
      </c>
    </row>
    <row r="10" spans="1:18" ht="19.95" customHeight="1" x14ac:dyDescent="0.3">
      <c r="A10" s="27" t="s">
        <v>11</v>
      </c>
      <c r="B10" s="28">
        <v>15.22</v>
      </c>
      <c r="C10" s="29">
        <f t="shared" si="0"/>
        <v>4</v>
      </c>
      <c r="D10" s="30">
        <v>59.856000000000002</v>
      </c>
      <c r="E10" s="29">
        <f t="shared" si="1"/>
        <v>4</v>
      </c>
      <c r="F10" s="31">
        <v>0.65903</v>
      </c>
      <c r="G10" s="29">
        <f t="shared" si="2"/>
        <v>4</v>
      </c>
      <c r="H10" s="31">
        <f>'7.Hasil'!C8</f>
        <v>1.3756445601305832E-2</v>
      </c>
      <c r="I10" s="29">
        <f>'7.Hasil'!D8</f>
        <v>4</v>
      </c>
      <c r="K10" s="27" t="s">
        <v>11</v>
      </c>
      <c r="L10" s="27">
        <f t="shared" si="3"/>
        <v>4</v>
      </c>
      <c r="M10" s="27">
        <f t="shared" si="4"/>
        <v>4</v>
      </c>
      <c r="N10" s="32">
        <f t="shared" si="5"/>
        <v>0</v>
      </c>
      <c r="O10" s="27">
        <f t="shared" si="6"/>
        <v>4</v>
      </c>
      <c r="P10" s="32">
        <f t="shared" si="7"/>
        <v>0</v>
      </c>
      <c r="Q10" s="27">
        <f t="shared" si="8"/>
        <v>4</v>
      </c>
      <c r="R10" s="32">
        <f t="shared" si="9"/>
        <v>0</v>
      </c>
    </row>
    <row r="11" spans="1:18" ht="19.95" customHeight="1" x14ac:dyDescent="0.3">
      <c r="A11" s="33" t="s">
        <v>12</v>
      </c>
      <c r="B11" s="34">
        <v>12.6</v>
      </c>
      <c r="C11" s="35">
        <f t="shared" si="0"/>
        <v>15</v>
      </c>
      <c r="D11" s="36">
        <v>43.04</v>
      </c>
      <c r="E11" s="35">
        <f t="shared" si="1"/>
        <v>16</v>
      </c>
      <c r="F11" s="37">
        <v>0.45822099999999999</v>
      </c>
      <c r="G11" s="35">
        <f t="shared" si="2"/>
        <v>16</v>
      </c>
      <c r="H11" s="37">
        <f>'7.Hasil'!C9</f>
        <v>3.0504362910565547E-2</v>
      </c>
      <c r="I11" s="35">
        <f>'7.Hasil'!D9</f>
        <v>15</v>
      </c>
      <c r="K11" s="33" t="s">
        <v>12</v>
      </c>
      <c r="L11" s="33">
        <f t="shared" si="3"/>
        <v>15</v>
      </c>
      <c r="M11" s="33">
        <f t="shared" si="4"/>
        <v>15</v>
      </c>
      <c r="N11" s="38">
        <f t="shared" si="5"/>
        <v>0</v>
      </c>
      <c r="O11" s="33">
        <f t="shared" si="6"/>
        <v>16</v>
      </c>
      <c r="P11" s="38">
        <f t="shared" si="7"/>
        <v>1</v>
      </c>
      <c r="Q11" s="33">
        <f t="shared" si="8"/>
        <v>16</v>
      </c>
      <c r="R11" s="38">
        <f t="shared" si="9"/>
        <v>1</v>
      </c>
    </row>
    <row r="12" spans="1:18" ht="19.95" customHeight="1" x14ac:dyDescent="0.3">
      <c r="A12" s="27" t="s">
        <v>13</v>
      </c>
      <c r="B12" s="28">
        <v>13.85</v>
      </c>
      <c r="C12" s="29">
        <f t="shared" si="0"/>
        <v>8</v>
      </c>
      <c r="D12" s="30">
        <v>50.127000000000002</v>
      </c>
      <c r="E12" s="29">
        <f t="shared" si="1"/>
        <v>8</v>
      </c>
      <c r="F12" s="31">
        <v>0.51835500000000001</v>
      </c>
      <c r="G12" s="29">
        <f t="shared" si="2"/>
        <v>8</v>
      </c>
      <c r="H12" s="31">
        <f>'7.Hasil'!C10</f>
        <v>2.5359483217629111E-2</v>
      </c>
      <c r="I12" s="29">
        <f>'7.Hasil'!D10</f>
        <v>10</v>
      </c>
      <c r="K12" s="27" t="s">
        <v>13</v>
      </c>
      <c r="L12" s="27">
        <f t="shared" si="3"/>
        <v>10</v>
      </c>
      <c r="M12" s="27">
        <f t="shared" si="4"/>
        <v>8</v>
      </c>
      <c r="N12" s="32">
        <f t="shared" si="5"/>
        <v>4</v>
      </c>
      <c r="O12" s="27">
        <f t="shared" si="6"/>
        <v>8</v>
      </c>
      <c r="P12" s="32">
        <f t="shared" si="7"/>
        <v>4</v>
      </c>
      <c r="Q12" s="27">
        <f t="shared" si="8"/>
        <v>8</v>
      </c>
      <c r="R12" s="32">
        <f t="shared" si="9"/>
        <v>4</v>
      </c>
    </row>
    <row r="13" spans="1:18" ht="19.95" customHeight="1" x14ac:dyDescent="0.3">
      <c r="A13" s="33" t="s">
        <v>14</v>
      </c>
      <c r="B13" s="34">
        <v>13.95</v>
      </c>
      <c r="C13" s="35">
        <f t="shared" si="0"/>
        <v>6</v>
      </c>
      <c r="D13" s="36">
        <v>53.38</v>
      </c>
      <c r="E13" s="35">
        <f t="shared" si="1"/>
        <v>6</v>
      </c>
      <c r="F13" s="37">
        <v>0.59464300000000003</v>
      </c>
      <c r="G13" s="35">
        <f t="shared" si="2"/>
        <v>5</v>
      </c>
      <c r="H13" s="37">
        <f>'7.Hasil'!C11</f>
        <v>2.3071772186536447E-2</v>
      </c>
      <c r="I13" s="35">
        <f>'7.Hasil'!D11</f>
        <v>7</v>
      </c>
      <c r="K13" s="33" t="s">
        <v>14</v>
      </c>
      <c r="L13" s="33">
        <f t="shared" si="3"/>
        <v>7</v>
      </c>
      <c r="M13" s="33">
        <f t="shared" si="4"/>
        <v>6</v>
      </c>
      <c r="N13" s="38">
        <f t="shared" si="5"/>
        <v>1</v>
      </c>
      <c r="O13" s="33">
        <f t="shared" si="6"/>
        <v>6</v>
      </c>
      <c r="P13" s="38">
        <f t="shared" si="7"/>
        <v>1</v>
      </c>
      <c r="Q13" s="33">
        <f t="shared" si="8"/>
        <v>5</v>
      </c>
      <c r="R13" s="38">
        <f t="shared" si="9"/>
        <v>4</v>
      </c>
    </row>
    <row r="14" spans="1:18" ht="19.95" customHeight="1" x14ac:dyDescent="0.3">
      <c r="A14" s="27" t="s">
        <v>15</v>
      </c>
      <c r="B14" s="28">
        <v>13.87</v>
      </c>
      <c r="C14" s="29">
        <f t="shared" si="0"/>
        <v>7</v>
      </c>
      <c r="D14" s="30">
        <v>50.957999999999998</v>
      </c>
      <c r="E14" s="29">
        <f t="shared" si="1"/>
        <v>7</v>
      </c>
      <c r="F14" s="31">
        <v>0.55843200000000004</v>
      </c>
      <c r="G14" s="29">
        <f t="shared" si="2"/>
        <v>6</v>
      </c>
      <c r="H14" s="31">
        <f>'7.Hasil'!C12</f>
        <v>2.3182965901146879E-2</v>
      </c>
      <c r="I14" s="29">
        <f>'7.Hasil'!D12</f>
        <v>8</v>
      </c>
      <c r="K14" s="27" t="s">
        <v>15</v>
      </c>
      <c r="L14" s="27">
        <f t="shared" si="3"/>
        <v>8</v>
      </c>
      <c r="M14" s="27">
        <f t="shared" si="4"/>
        <v>7</v>
      </c>
      <c r="N14" s="32">
        <f t="shared" si="5"/>
        <v>1</v>
      </c>
      <c r="O14" s="27">
        <f t="shared" si="6"/>
        <v>7</v>
      </c>
      <c r="P14" s="32">
        <f t="shared" si="7"/>
        <v>1</v>
      </c>
      <c r="Q14" s="27">
        <f t="shared" si="8"/>
        <v>6</v>
      </c>
      <c r="R14" s="32">
        <f t="shared" si="9"/>
        <v>4</v>
      </c>
    </row>
    <row r="15" spans="1:18" ht="19.95" customHeight="1" x14ac:dyDescent="0.3">
      <c r="A15" s="33" t="s">
        <v>16</v>
      </c>
      <c r="B15" s="34">
        <v>13.35</v>
      </c>
      <c r="C15" s="35">
        <f t="shared" si="0"/>
        <v>10</v>
      </c>
      <c r="D15" s="36">
        <v>48.42</v>
      </c>
      <c r="E15" s="35">
        <f t="shared" si="1"/>
        <v>10</v>
      </c>
      <c r="F15" s="37">
        <v>0.49784400000000001</v>
      </c>
      <c r="G15" s="35">
        <f t="shared" si="2"/>
        <v>9</v>
      </c>
      <c r="H15" s="37">
        <f>'7.Hasil'!C13</f>
        <v>2.4752282165680276E-2</v>
      </c>
      <c r="I15" s="35">
        <f>'7.Hasil'!D13</f>
        <v>9</v>
      </c>
      <c r="K15" s="33" t="s">
        <v>16</v>
      </c>
      <c r="L15" s="33">
        <f t="shared" si="3"/>
        <v>9</v>
      </c>
      <c r="M15" s="33">
        <f t="shared" si="4"/>
        <v>10</v>
      </c>
      <c r="N15" s="38">
        <f t="shared" si="5"/>
        <v>1</v>
      </c>
      <c r="O15" s="33">
        <f t="shared" si="6"/>
        <v>10</v>
      </c>
      <c r="P15" s="38">
        <f t="shared" si="7"/>
        <v>1</v>
      </c>
      <c r="Q15" s="33">
        <f t="shared" si="8"/>
        <v>9</v>
      </c>
      <c r="R15" s="38">
        <f t="shared" si="9"/>
        <v>0</v>
      </c>
    </row>
    <row r="16" spans="1:18" ht="19.95" customHeight="1" x14ac:dyDescent="0.3">
      <c r="A16" s="27" t="s">
        <v>17</v>
      </c>
      <c r="B16" s="28">
        <v>12.75</v>
      </c>
      <c r="C16" s="29">
        <f t="shared" si="0"/>
        <v>13</v>
      </c>
      <c r="D16" s="30">
        <v>45.563000000000002</v>
      </c>
      <c r="E16" s="29">
        <f t="shared" si="1"/>
        <v>13</v>
      </c>
      <c r="F16" s="31">
        <v>0.47435500000000003</v>
      </c>
      <c r="G16" s="29">
        <f t="shared" si="2"/>
        <v>12</v>
      </c>
      <c r="H16" s="31">
        <f>'7.Hasil'!C14</f>
        <v>2.7573056950852312E-2</v>
      </c>
      <c r="I16" s="29">
        <f>'7.Hasil'!D14</f>
        <v>12</v>
      </c>
      <c r="K16" s="27" t="s">
        <v>17</v>
      </c>
      <c r="L16" s="27">
        <f t="shared" si="3"/>
        <v>12</v>
      </c>
      <c r="M16" s="27">
        <f t="shared" si="4"/>
        <v>13</v>
      </c>
      <c r="N16" s="32">
        <f t="shared" si="5"/>
        <v>1</v>
      </c>
      <c r="O16" s="27">
        <f t="shared" si="6"/>
        <v>13</v>
      </c>
      <c r="P16" s="32">
        <f t="shared" si="7"/>
        <v>1</v>
      </c>
      <c r="Q16" s="27">
        <f t="shared" si="8"/>
        <v>12</v>
      </c>
      <c r="R16" s="32">
        <f t="shared" si="9"/>
        <v>0</v>
      </c>
    </row>
    <row r="17" spans="1:18" ht="19.95" customHeight="1" x14ac:dyDescent="0.3">
      <c r="A17" s="33" t="s">
        <v>18</v>
      </c>
      <c r="B17" s="34">
        <v>14.28</v>
      </c>
      <c r="C17" s="35">
        <f t="shared" si="0"/>
        <v>5</v>
      </c>
      <c r="D17" s="36">
        <v>54.085999999999999</v>
      </c>
      <c r="E17" s="35">
        <f t="shared" si="1"/>
        <v>5</v>
      </c>
      <c r="F17" s="37">
        <v>0.54828200000000005</v>
      </c>
      <c r="G17" s="35">
        <f t="shared" si="2"/>
        <v>7</v>
      </c>
      <c r="H17" s="37">
        <f>'7.Hasil'!C15</f>
        <v>1.710427214702925E-2</v>
      </c>
      <c r="I17" s="35">
        <f>'7.Hasil'!D15</f>
        <v>5</v>
      </c>
      <c r="K17" s="33" t="s">
        <v>18</v>
      </c>
      <c r="L17" s="33">
        <f t="shared" si="3"/>
        <v>5</v>
      </c>
      <c r="M17" s="33">
        <f t="shared" si="4"/>
        <v>5</v>
      </c>
      <c r="N17" s="38">
        <f t="shared" si="5"/>
        <v>0</v>
      </c>
      <c r="O17" s="33">
        <f t="shared" si="6"/>
        <v>5</v>
      </c>
      <c r="P17" s="38">
        <f t="shared" si="7"/>
        <v>0</v>
      </c>
      <c r="Q17" s="33">
        <f t="shared" si="8"/>
        <v>7</v>
      </c>
      <c r="R17" s="38">
        <f t="shared" si="9"/>
        <v>4</v>
      </c>
    </row>
    <row r="18" spans="1:18" ht="19.95" customHeight="1" x14ac:dyDescent="0.3">
      <c r="A18" s="27" t="s">
        <v>19</v>
      </c>
      <c r="B18" s="28">
        <v>11.75</v>
      </c>
      <c r="C18" s="29">
        <f t="shared" si="0"/>
        <v>18</v>
      </c>
      <c r="D18" s="30">
        <v>41.414000000000001</v>
      </c>
      <c r="E18" s="29">
        <f t="shared" si="1"/>
        <v>18</v>
      </c>
      <c r="F18" s="31">
        <v>0.44341799999999998</v>
      </c>
      <c r="G18" s="29">
        <f t="shared" si="2"/>
        <v>17</v>
      </c>
      <c r="H18" s="31">
        <f>'7.Hasil'!C16</f>
        <v>3.108247320025153E-2</v>
      </c>
      <c r="I18" s="29">
        <f>'7.Hasil'!D16</f>
        <v>17</v>
      </c>
      <c r="K18" s="27" t="s">
        <v>19</v>
      </c>
      <c r="L18" s="27">
        <f t="shared" si="3"/>
        <v>17</v>
      </c>
      <c r="M18" s="27">
        <f t="shared" si="4"/>
        <v>18</v>
      </c>
      <c r="N18" s="32">
        <f t="shared" si="5"/>
        <v>1</v>
      </c>
      <c r="O18" s="27">
        <f t="shared" si="6"/>
        <v>18</v>
      </c>
      <c r="P18" s="32">
        <f t="shared" si="7"/>
        <v>1</v>
      </c>
      <c r="Q18" s="27">
        <f t="shared" si="8"/>
        <v>17</v>
      </c>
      <c r="R18" s="32">
        <f t="shared" si="9"/>
        <v>0</v>
      </c>
    </row>
    <row r="19" spans="1:18" ht="19.95" customHeight="1" x14ac:dyDescent="0.3">
      <c r="A19" s="33" t="s">
        <v>20</v>
      </c>
      <c r="B19" s="34">
        <v>16.95</v>
      </c>
      <c r="C19" s="35">
        <f t="shared" si="0"/>
        <v>2</v>
      </c>
      <c r="D19" s="36">
        <v>66.55</v>
      </c>
      <c r="E19" s="35">
        <f t="shared" si="1"/>
        <v>3</v>
      </c>
      <c r="F19" s="37">
        <v>0.75780000000000003</v>
      </c>
      <c r="G19" s="35">
        <f t="shared" si="2"/>
        <v>2</v>
      </c>
      <c r="H19" s="37">
        <f>'7.Hasil'!C17</f>
        <v>1.1593437650600854E-2</v>
      </c>
      <c r="I19" s="35">
        <f>'7.Hasil'!D17</f>
        <v>2</v>
      </c>
      <c r="K19" s="33" t="s">
        <v>20</v>
      </c>
      <c r="L19" s="33">
        <f t="shared" si="3"/>
        <v>2</v>
      </c>
      <c r="M19" s="33">
        <f t="shared" si="4"/>
        <v>2</v>
      </c>
      <c r="N19" s="38">
        <f t="shared" si="5"/>
        <v>0</v>
      </c>
      <c r="O19" s="33">
        <f t="shared" si="6"/>
        <v>3</v>
      </c>
      <c r="P19" s="38">
        <f t="shared" si="7"/>
        <v>1</v>
      </c>
      <c r="Q19" s="33">
        <f t="shared" si="8"/>
        <v>2</v>
      </c>
      <c r="R19" s="38">
        <f t="shared" si="9"/>
        <v>0</v>
      </c>
    </row>
    <row r="20" spans="1:18" ht="19.95" customHeight="1" x14ac:dyDescent="0.3">
      <c r="A20" s="27" t="s">
        <v>21</v>
      </c>
      <c r="B20" s="28">
        <v>11.02</v>
      </c>
      <c r="C20" s="29">
        <f t="shared" si="0"/>
        <v>20</v>
      </c>
      <c r="D20" s="30">
        <v>39.432000000000002</v>
      </c>
      <c r="E20" s="29">
        <f t="shared" si="1"/>
        <v>19</v>
      </c>
      <c r="F20" s="31">
        <v>0.33682200000000001</v>
      </c>
      <c r="G20" s="29">
        <f t="shared" si="2"/>
        <v>19</v>
      </c>
      <c r="H20" s="31">
        <f>'7.Hasil'!C18</f>
        <v>3.1477026019389974E-2</v>
      </c>
      <c r="I20" s="29">
        <f>'7.Hasil'!D18</f>
        <v>19</v>
      </c>
      <c r="K20" s="27" t="s">
        <v>21</v>
      </c>
      <c r="L20" s="27">
        <f t="shared" si="3"/>
        <v>19</v>
      </c>
      <c r="M20" s="27">
        <f t="shared" si="4"/>
        <v>20</v>
      </c>
      <c r="N20" s="32">
        <f t="shared" si="5"/>
        <v>1</v>
      </c>
      <c r="O20" s="27">
        <f t="shared" si="6"/>
        <v>19</v>
      </c>
      <c r="P20" s="32">
        <f t="shared" si="7"/>
        <v>0</v>
      </c>
      <c r="Q20" s="27">
        <f t="shared" si="8"/>
        <v>19</v>
      </c>
      <c r="R20" s="32">
        <f t="shared" si="9"/>
        <v>0</v>
      </c>
    </row>
    <row r="21" spans="1:18" ht="19.95" customHeight="1" x14ac:dyDescent="0.3">
      <c r="A21" s="33" t="s">
        <v>22</v>
      </c>
      <c r="B21" s="34">
        <v>13.27</v>
      </c>
      <c r="C21" s="35">
        <f t="shared" si="0"/>
        <v>11</v>
      </c>
      <c r="D21" s="36">
        <v>45.857999999999997</v>
      </c>
      <c r="E21" s="35">
        <f t="shared" si="1"/>
        <v>12</v>
      </c>
      <c r="F21" s="37">
        <v>0.46624199999999999</v>
      </c>
      <c r="G21" s="35">
        <f t="shared" si="2"/>
        <v>14</v>
      </c>
      <c r="H21" s="37">
        <f>'7.Hasil'!C19</f>
        <v>2.6956757380829453E-2</v>
      </c>
      <c r="I21" s="35">
        <f>'7.Hasil'!D19</f>
        <v>11</v>
      </c>
      <c r="K21" s="33" t="s">
        <v>22</v>
      </c>
      <c r="L21" s="33">
        <f t="shared" si="3"/>
        <v>11</v>
      </c>
      <c r="M21" s="33">
        <f t="shared" si="4"/>
        <v>11</v>
      </c>
      <c r="N21" s="38">
        <f t="shared" si="5"/>
        <v>0</v>
      </c>
      <c r="O21" s="33">
        <f t="shared" si="6"/>
        <v>12</v>
      </c>
      <c r="P21" s="38">
        <f t="shared" si="7"/>
        <v>1</v>
      </c>
      <c r="Q21" s="33">
        <f t="shared" si="8"/>
        <v>14</v>
      </c>
      <c r="R21" s="38">
        <f t="shared" si="9"/>
        <v>9</v>
      </c>
    </row>
    <row r="22" spans="1:18" ht="19.95" customHeight="1" x14ac:dyDescent="0.3">
      <c r="A22" s="27" t="s">
        <v>23</v>
      </c>
      <c r="B22" s="28">
        <v>13.05</v>
      </c>
      <c r="C22" s="29">
        <f t="shared" si="0"/>
        <v>12</v>
      </c>
      <c r="D22" s="30">
        <v>45.896999999999998</v>
      </c>
      <c r="E22" s="29">
        <f t="shared" si="1"/>
        <v>11</v>
      </c>
      <c r="F22" s="31">
        <v>0.47045700000000001</v>
      </c>
      <c r="G22" s="29">
        <f t="shared" si="2"/>
        <v>13</v>
      </c>
      <c r="H22" s="31">
        <f>'7.Hasil'!C20</f>
        <v>2.8025894331454838E-2</v>
      </c>
      <c r="I22" s="29">
        <f>'7.Hasil'!D20</f>
        <v>13</v>
      </c>
      <c r="K22" s="27" t="s">
        <v>23</v>
      </c>
      <c r="L22" s="27">
        <f t="shared" si="3"/>
        <v>13</v>
      </c>
      <c r="M22" s="27">
        <f t="shared" si="4"/>
        <v>12</v>
      </c>
      <c r="N22" s="32">
        <f t="shared" si="5"/>
        <v>1</v>
      </c>
      <c r="O22" s="27">
        <f t="shared" si="6"/>
        <v>11</v>
      </c>
      <c r="P22" s="32">
        <f t="shared" si="7"/>
        <v>4</v>
      </c>
      <c r="Q22" s="27">
        <f t="shared" si="8"/>
        <v>13</v>
      </c>
      <c r="R22" s="32">
        <f t="shared" si="9"/>
        <v>0</v>
      </c>
    </row>
    <row r="23" spans="1:18" ht="19.95" customHeight="1" x14ac:dyDescent="0.3">
      <c r="A23" s="33" t="s">
        <v>24</v>
      </c>
      <c r="B23" s="34">
        <v>12.37</v>
      </c>
      <c r="C23" s="35">
        <f t="shared" si="0"/>
        <v>16</v>
      </c>
      <c r="D23" s="36">
        <v>43.752000000000002</v>
      </c>
      <c r="E23" s="35">
        <f t="shared" si="1"/>
        <v>15</v>
      </c>
      <c r="F23" s="37">
        <v>0.48807400000000001</v>
      </c>
      <c r="G23" s="35">
        <f t="shared" si="2"/>
        <v>11</v>
      </c>
      <c r="H23" s="37">
        <f>'7.Hasil'!C21</f>
        <v>3.1253964737502672E-2</v>
      </c>
      <c r="I23" s="35">
        <f>'7.Hasil'!D21</f>
        <v>18</v>
      </c>
      <c r="K23" s="33" t="s">
        <v>24</v>
      </c>
      <c r="L23" s="33">
        <f t="shared" si="3"/>
        <v>18</v>
      </c>
      <c r="M23" s="33">
        <f t="shared" si="4"/>
        <v>16</v>
      </c>
      <c r="N23" s="38">
        <f t="shared" si="5"/>
        <v>4</v>
      </c>
      <c r="O23" s="33">
        <f t="shared" si="6"/>
        <v>15</v>
      </c>
      <c r="P23" s="38">
        <f t="shared" si="7"/>
        <v>9</v>
      </c>
      <c r="Q23" s="33">
        <f t="shared" si="8"/>
        <v>11</v>
      </c>
      <c r="R23" s="38">
        <f t="shared" si="9"/>
        <v>49</v>
      </c>
    </row>
    <row r="24" spans="1:18" ht="19.95" customHeight="1" x14ac:dyDescent="0.3">
      <c r="A24" s="27" t="s">
        <v>25</v>
      </c>
      <c r="B24" s="28">
        <v>12.75</v>
      </c>
      <c r="C24" s="29">
        <f t="shared" si="0"/>
        <v>13</v>
      </c>
      <c r="D24" s="30">
        <v>44.18</v>
      </c>
      <c r="E24" s="29">
        <f t="shared" si="1"/>
        <v>14</v>
      </c>
      <c r="F24" s="31">
        <v>0.44294099999999997</v>
      </c>
      <c r="G24" s="29">
        <f t="shared" si="2"/>
        <v>18</v>
      </c>
      <c r="H24" s="31">
        <f>'7.Hasil'!C22</f>
        <v>2.9208520394389544E-2</v>
      </c>
      <c r="I24" s="29">
        <f>'7.Hasil'!D22</f>
        <v>14</v>
      </c>
      <c r="K24" s="27" t="s">
        <v>25</v>
      </c>
      <c r="L24" s="27">
        <f t="shared" si="3"/>
        <v>14</v>
      </c>
      <c r="M24" s="27">
        <f t="shared" si="4"/>
        <v>13</v>
      </c>
      <c r="N24" s="32">
        <f t="shared" si="5"/>
        <v>1</v>
      </c>
      <c r="O24" s="27">
        <f t="shared" si="6"/>
        <v>14</v>
      </c>
      <c r="P24" s="32">
        <f t="shared" si="7"/>
        <v>0</v>
      </c>
      <c r="Q24" s="27">
        <f t="shared" si="8"/>
        <v>18</v>
      </c>
      <c r="R24" s="32">
        <f t="shared" si="9"/>
        <v>16</v>
      </c>
    </row>
    <row r="25" spans="1:18" ht="19.95" customHeight="1" x14ac:dyDescent="0.3">
      <c r="A25" s="33" t="s">
        <v>26</v>
      </c>
      <c r="B25" s="34">
        <v>11.32</v>
      </c>
      <c r="C25" s="35">
        <f t="shared" si="0"/>
        <v>19</v>
      </c>
      <c r="D25" s="36">
        <v>38.994</v>
      </c>
      <c r="E25" s="35">
        <f t="shared" si="1"/>
        <v>20</v>
      </c>
      <c r="F25" s="37">
        <v>0.329795</v>
      </c>
      <c r="G25" s="35">
        <f t="shared" si="2"/>
        <v>20</v>
      </c>
      <c r="H25" s="37">
        <f>'7.Hasil'!C23</f>
        <v>3.2888258565982556E-2</v>
      </c>
      <c r="I25" s="35">
        <f>'7.Hasil'!D23</f>
        <v>20</v>
      </c>
      <c r="K25" s="33" t="s">
        <v>26</v>
      </c>
      <c r="L25" s="33">
        <f t="shared" si="3"/>
        <v>20</v>
      </c>
      <c r="M25" s="33">
        <f t="shared" si="4"/>
        <v>19</v>
      </c>
      <c r="N25" s="38">
        <f t="shared" si="5"/>
        <v>1</v>
      </c>
      <c r="O25" s="33">
        <f t="shared" si="6"/>
        <v>20</v>
      </c>
      <c r="P25" s="38">
        <f t="shared" si="7"/>
        <v>0</v>
      </c>
      <c r="Q25" s="33">
        <f t="shared" si="8"/>
        <v>20</v>
      </c>
      <c r="R25" s="38">
        <f t="shared" si="9"/>
        <v>0</v>
      </c>
    </row>
    <row r="26" spans="1:18" ht="19.95" customHeight="1" x14ac:dyDescent="0.3">
      <c r="K26" s="26" t="s">
        <v>121</v>
      </c>
      <c r="L26" s="39"/>
      <c r="M26" s="39"/>
      <c r="N26" s="40">
        <f>SUM(N6:N25)</f>
        <v>27</v>
      </c>
      <c r="O26" s="39"/>
      <c r="P26" s="40">
        <f>SUM(P6:P25)</f>
        <v>36</v>
      </c>
      <c r="Q26" s="39"/>
      <c r="R26" s="40">
        <f>SUM(R6:R25)</f>
        <v>108</v>
      </c>
    </row>
    <row r="27" spans="1:18" x14ac:dyDescent="0.3">
      <c r="A27" s="65" t="s">
        <v>122</v>
      </c>
      <c r="B27" s="64"/>
      <c r="C27" s="64"/>
      <c r="D27" s="64"/>
      <c r="E27" s="64"/>
      <c r="F27" s="64"/>
      <c r="G27" s="64"/>
      <c r="H27" s="64"/>
      <c r="I27" s="64"/>
    </row>
    <row r="29" spans="1:18" x14ac:dyDescent="0.3">
      <c r="A29" s="25" t="s">
        <v>123</v>
      </c>
      <c r="K29" s="25" t="s">
        <v>124</v>
      </c>
    </row>
    <row r="30" spans="1:18" ht="24" customHeight="1" x14ac:dyDescent="0.3">
      <c r="A30" s="26" t="s">
        <v>125</v>
      </c>
      <c r="B30" s="26" t="s">
        <v>126</v>
      </c>
      <c r="C30" s="26" t="s">
        <v>127</v>
      </c>
      <c r="D30" s="26" t="s">
        <v>128</v>
      </c>
      <c r="E30" s="26" t="s">
        <v>129</v>
      </c>
      <c r="K30" s="26" t="s">
        <v>130</v>
      </c>
      <c r="L30" s="26" t="s">
        <v>131</v>
      </c>
      <c r="M30" s="26" t="s">
        <v>132</v>
      </c>
      <c r="N30" s="26" t="s">
        <v>133</v>
      </c>
    </row>
    <row r="31" spans="1:18" ht="19.95" customHeight="1" x14ac:dyDescent="0.3">
      <c r="A31" s="27" t="s">
        <v>134</v>
      </c>
      <c r="B31" s="41">
        <v>0.1164</v>
      </c>
      <c r="C31" s="27" t="s">
        <v>9</v>
      </c>
      <c r="D31" s="32">
        <v>2</v>
      </c>
      <c r="E31" s="32" t="s">
        <v>135</v>
      </c>
      <c r="K31" s="42" t="s">
        <v>136</v>
      </c>
      <c r="L31" s="32">
        <f>N26</f>
        <v>27</v>
      </c>
      <c r="M31" s="43">
        <f>1-(6*L31)/7980</f>
        <v>0.97969924812030074</v>
      </c>
      <c r="N31" s="29" t="str">
        <f>IF(M31&gt;0.8,"Sangat Kuat",IF(M31&gt;0.6,"Kuat",IF(M31&gt;0.4,"Cukup Kuat","Lemah")))</f>
        <v>Sangat Kuat</v>
      </c>
    </row>
    <row r="32" spans="1:18" ht="19.95" customHeight="1" x14ac:dyDescent="0.3">
      <c r="A32" s="33" t="s">
        <v>137</v>
      </c>
      <c r="B32" s="44">
        <v>0.13100000000000001</v>
      </c>
      <c r="C32" s="33" t="s">
        <v>9</v>
      </c>
      <c r="D32" s="38">
        <v>2</v>
      </c>
      <c r="E32" s="38" t="s">
        <v>135</v>
      </c>
      <c r="K32" s="42" t="s">
        <v>138</v>
      </c>
      <c r="L32" s="32">
        <f>P26</f>
        <v>36</v>
      </c>
      <c r="M32" s="43">
        <f>1-(6*L32)/7980</f>
        <v>0.97293233082706765</v>
      </c>
      <c r="N32" s="29" t="str">
        <f>IF(M32&gt;0.8,"Sangat Kuat",IF(M32&gt;0.6,"Kuat",IF(M32&gt;0.4,"Cukup Kuat","Lemah")))</f>
        <v>Sangat Kuat</v>
      </c>
    </row>
    <row r="33" spans="1:14" ht="19.95" customHeight="1" x14ac:dyDescent="0.3">
      <c r="A33" s="45" t="s">
        <v>139</v>
      </c>
      <c r="B33" s="46">
        <v>0.14560000000000001</v>
      </c>
      <c r="C33" s="45" t="s">
        <v>9</v>
      </c>
      <c r="D33" s="47">
        <v>0</v>
      </c>
      <c r="E33" s="47" t="s">
        <v>140</v>
      </c>
      <c r="K33" s="42" t="s">
        <v>141</v>
      </c>
      <c r="L33" s="32">
        <f>R26</f>
        <v>108</v>
      </c>
      <c r="M33" s="43">
        <f>1-(6*L33)/7980</f>
        <v>0.91879699248120295</v>
      </c>
      <c r="N33" s="29" t="str">
        <f>IF(M33&gt;0.8,"Sangat Kuat",IF(M33&gt;0.6,"Kuat",IF(M33&gt;0.4,"Cukup Kuat","Lemah")))</f>
        <v>Sangat Kuat</v>
      </c>
    </row>
    <row r="34" spans="1:14" ht="19.95" customHeight="1" x14ac:dyDescent="0.3">
      <c r="A34" s="33" t="s">
        <v>142</v>
      </c>
      <c r="B34" s="44">
        <v>0.16009999999999999</v>
      </c>
      <c r="C34" s="33" t="s">
        <v>9</v>
      </c>
      <c r="D34" s="38">
        <v>2</v>
      </c>
      <c r="E34" s="38" t="s">
        <v>135</v>
      </c>
    </row>
    <row r="35" spans="1:14" ht="19.95" customHeight="1" x14ac:dyDescent="0.3">
      <c r="A35" s="27" t="s">
        <v>143</v>
      </c>
      <c r="B35" s="41">
        <v>0.17469999999999999</v>
      </c>
      <c r="C35" s="27" t="s">
        <v>9</v>
      </c>
      <c r="D35" s="32">
        <v>2</v>
      </c>
      <c r="E35" s="32" t="s">
        <v>135</v>
      </c>
    </row>
  </sheetData>
  <mergeCells count="3">
    <mergeCell ref="A1:I1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1.Data</vt:lpstr>
      <vt:lpstr>2.SWARA</vt:lpstr>
      <vt:lpstr>3.Normalisasi</vt:lpstr>
      <vt:lpstr>4.Pref.Teoritis</vt:lpstr>
      <vt:lpstr>5.Pref.Nyata</vt:lpstr>
      <vt:lpstr>6.Gap</vt:lpstr>
      <vt:lpstr>7.Hasil</vt:lpstr>
      <vt:lpstr>8.Perbandingan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Nabhan Rizqi Julian Saputro</cp:lastModifiedBy>
  <cp:revision>0</cp:revision>
  <dcterms:created xsi:type="dcterms:W3CDTF">2026-06-19T10:55:17Z</dcterms:created>
  <dcterms:modified xsi:type="dcterms:W3CDTF">2026-06-21T09:19:15Z</dcterms:modified>
  <dc:language>en-US</dc:language>
</cp:coreProperties>
</file>