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ata" sheetId="1" state="visible" r:id="rId1"/>
    <sheet xmlns:r="http://schemas.openxmlformats.org/officeDocument/2006/relationships" name="2.SWARA" sheetId="2" state="visible" r:id="rId2"/>
    <sheet xmlns:r="http://schemas.openxmlformats.org/officeDocument/2006/relationships" name="3.Normalisasi" sheetId="3" state="visible" r:id="rId3"/>
    <sheet xmlns:r="http://schemas.openxmlformats.org/officeDocument/2006/relationships" name="4.Pref.Teoritis" sheetId="4" state="visible" r:id="rId4"/>
    <sheet xmlns:r="http://schemas.openxmlformats.org/officeDocument/2006/relationships" name="5.Pref.Nyata" sheetId="5" state="visible" r:id="rId5"/>
    <sheet xmlns:r="http://schemas.openxmlformats.org/officeDocument/2006/relationships" name="6.Gap" sheetId="6" state="visible" r:id="rId6"/>
    <sheet xmlns:r="http://schemas.openxmlformats.org/officeDocument/2006/relationships" name="7.Hasil" sheetId="7" state="visible" r:id="rId7"/>
    <sheet xmlns:r="http://schemas.openxmlformats.org/officeDocument/2006/relationships" name="8.Perbandi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FFFFFF"/>
      <sz val="10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top style="thin">
        <color rgb="001E293B"/>
      </top>
      <bottom style="double">
        <color rgb="001E293B"/>
      </bottom>
    </border>
    <border>
      <bottom style="thin">
        <color rgb="00E2E8F0"/>
      </bottom>
    </border>
    <border>
      <top style="thin">
        <color rgb="001E293B"/>
      </top>
      <bottom style="medium">
        <color rgb="001E293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2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164" fontId="1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0" fontId="1" fillId="0" borderId="0" pivotButton="0" quotePrefix="0" xfId="0"/>
    <xf numFmtId="1" fontId="2" fillId="0" borderId="2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1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164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3" customWidth="1" min="5" max="5"/>
    <col width="22" customWidth="1" min="6" max="6"/>
    <col width="22" customWidth="1" min="7" max="7"/>
    <col width="15" customWidth="1" min="8" max="8"/>
    <col width="19" customWidth="1" min="9" max="9"/>
    <col width="12" customWidth="1" min="10" max="10"/>
    <col width="18" customWidth="1" min="11" max="11"/>
    <col width="20" customWidth="1" min="12" max="12"/>
    <col width="13" customWidth="1" min="13" max="13"/>
    <col width="12" customWidth="1" min="14" max="14"/>
    <col width="16" customWidth="1" min="15" max="15"/>
    <col width="12" customWidth="1" min="16" max="16"/>
  </cols>
  <sheetData>
    <row r="1">
      <c r="A1" t="inlineStr">
        <is>
          <t>MATRIKS DATA KEPUTUSAN — SELEKSI SMARTPHONE TERBAIK</t>
        </is>
      </c>
    </row>
    <row r="2">
      <c r="A2" s="1" t="inlineStr">
        <is>
          <t>Keterangan Kriteria</t>
        </is>
      </c>
      <c r="B2" s="1" t="n"/>
      <c r="C2" s="1" t="n"/>
      <c r="D2" s="1" t="inlineStr">
        <is>
          <t>K1</t>
        </is>
      </c>
      <c r="E2" s="1" t="inlineStr">
        <is>
          <t>K2</t>
        </is>
      </c>
      <c r="F2" s="1" t="inlineStr">
        <is>
          <t>K3</t>
        </is>
      </c>
      <c r="G2" s="1" t="inlineStr">
        <is>
          <t>K4</t>
        </is>
      </c>
      <c r="H2" s="1" t="inlineStr">
        <is>
          <t>K5</t>
        </is>
      </c>
      <c r="I2" s="1" t="inlineStr">
        <is>
          <t>K6</t>
        </is>
      </c>
      <c r="J2" s="1" t="inlineStr">
        <is>
          <t>K7</t>
        </is>
      </c>
      <c r="K2" s="1" t="inlineStr">
        <is>
          <t>K8</t>
        </is>
      </c>
      <c r="L2" s="1" t="inlineStr">
        <is>
          <t>K9</t>
        </is>
      </c>
      <c r="M2" s="1" t="inlineStr">
        <is>
          <t>K10</t>
        </is>
      </c>
      <c r="N2" t="inlineStr">
        <is>
          <t>K11</t>
        </is>
      </c>
      <c r="O2" t="inlineStr">
        <is>
          <t>K12</t>
        </is>
      </c>
    </row>
    <row r="3">
      <c r="A3" s="1" t="inlineStr">
        <is>
          <t>Tipe Kriteria</t>
        </is>
      </c>
      <c r="B3" s="1" t="n"/>
      <c r="C3" s="1" t="n"/>
      <c r="D3" s="1" t="inlineStr">
        <is>
          <t>Cost</t>
        </is>
      </c>
      <c r="E3" s="1" t="inlineStr">
        <is>
          <t>Cost</t>
        </is>
      </c>
      <c r="F3" s="1" t="inlineStr">
        <is>
          <t>Benefit</t>
        </is>
      </c>
      <c r="G3" s="1" t="inlineStr">
        <is>
          <t>Benefit</t>
        </is>
      </c>
      <c r="H3" s="1" t="inlineStr">
        <is>
          <t>Benefit</t>
        </is>
      </c>
      <c r="I3" s="1" t="inlineStr">
        <is>
          <t>Benefit</t>
        </is>
      </c>
      <c r="J3" s="1" t="inlineStr">
        <is>
          <t>Benefit</t>
        </is>
      </c>
      <c r="K3" s="1" t="inlineStr">
        <is>
          <t>Benefit</t>
        </is>
      </c>
      <c r="L3" s="1" t="inlineStr">
        <is>
          <t>Benefit</t>
        </is>
      </c>
      <c r="M3" s="1" t="inlineStr">
        <is>
          <t>Benefit</t>
        </is>
      </c>
      <c r="N3" t="inlineStr">
        <is>
          <t>Benefit</t>
        </is>
      </c>
      <c r="O3" t="inlineStr">
        <is>
          <t>Cost</t>
        </is>
      </c>
    </row>
    <row r="4">
      <c r="A4" s="1" t="inlineStr">
        <is>
          <t>Nama Kriteria</t>
        </is>
      </c>
      <c r="B4" s="1" t="n"/>
      <c r="C4" s="1" t="n"/>
      <c r="D4" s="1" t="inlineStr">
        <is>
          <t>Weight g</t>
        </is>
      </c>
      <c r="E4" s="1" t="inlineStr">
        <is>
          <t>Weight oz</t>
        </is>
      </c>
      <c r="F4" s="1" t="inlineStr">
        <is>
          <t>Year of production</t>
        </is>
      </c>
      <c r="G4" s="1" t="inlineStr">
        <is>
          <t>Display resolution</t>
        </is>
      </c>
      <c r="H4" s="1" t="inlineStr">
        <is>
          <t>Memory card</t>
        </is>
      </c>
      <c r="I4" s="1" t="inlineStr">
        <is>
          <t>Internal memory</t>
        </is>
      </c>
      <c r="J4" s="1" t="inlineStr">
        <is>
          <t>RAM</t>
        </is>
      </c>
      <c r="K4" s="1" t="inlineStr">
        <is>
          <t>Primary camera</t>
        </is>
      </c>
      <c r="L4" s="1" t="inlineStr">
        <is>
          <t>Secondary camera</t>
        </is>
      </c>
      <c r="M4" s="1" t="inlineStr">
        <is>
          <t>Bluetooth</t>
        </is>
      </c>
      <c r="N4" t="inlineStr">
        <is>
          <t>USB</t>
        </is>
      </c>
      <c r="O4" t="inlineStr">
        <is>
          <t>Approx price</t>
        </is>
      </c>
    </row>
    <row r="5"/>
    <row r="6"/>
    <row r="7">
      <c r="A7" t="inlineStr">
        <is>
          <t>MATRIKS KEPUTUSAN (Nilai Atribut tiap Alternatif)</t>
        </is>
      </c>
    </row>
    <row r="8">
      <c r="A8" t="inlineStr">
        <is>
          <t>Alternatif</t>
        </is>
      </c>
      <c r="B8" t="inlineStr">
        <is>
          <t>K1</t>
        </is>
      </c>
      <c r="C8" t="inlineStr">
        <is>
          <t>K2</t>
        </is>
      </c>
      <c r="D8" t="inlineStr">
        <is>
          <t>K3</t>
        </is>
      </c>
      <c r="E8" t="inlineStr">
        <is>
          <t>K4</t>
        </is>
      </c>
      <c r="F8" t="inlineStr">
        <is>
          <t>K5</t>
        </is>
      </c>
      <c r="G8" t="inlineStr">
        <is>
          <t>K6</t>
        </is>
      </c>
      <c r="H8" t="inlineStr">
        <is>
          <t>K7</t>
        </is>
      </c>
      <c r="I8" t="inlineStr">
        <is>
          <t>K8</t>
        </is>
      </c>
      <c r="J8" t="inlineStr">
        <is>
          <t>K9</t>
        </is>
      </c>
      <c r="K8" t="inlineStr">
        <is>
          <t>K10</t>
        </is>
      </c>
      <c r="L8" t="inlineStr">
        <is>
          <t>K11</t>
        </is>
      </c>
      <c r="M8" t="inlineStr">
        <is>
          <t>K12</t>
        </is>
      </c>
    </row>
    <row r="9" ht="22" customHeight="1">
      <c r="A9" s="2" t="inlineStr">
        <is>
          <t>A01</t>
        </is>
      </c>
      <c r="B9" s="3" t="n">
        <v>202</v>
      </c>
      <c r="C9" s="3" t="n">
        <v>7</v>
      </c>
      <c r="D9" s="3" t="n">
        <v>2015</v>
      </c>
      <c r="E9" s="3" t="n">
        <v>5</v>
      </c>
      <c r="F9" s="3" t="n">
        <v>64</v>
      </c>
      <c r="G9" s="3" t="n">
        <v>8</v>
      </c>
      <c r="H9" s="3" t="n">
        <v>2048</v>
      </c>
      <c r="I9" s="3" t="n">
        <v>13</v>
      </c>
      <c r="J9" s="3" t="n">
        <v>5</v>
      </c>
      <c r="K9" s="3" t="n">
        <v>4</v>
      </c>
      <c r="L9" s="3" t="n">
        <v>2</v>
      </c>
      <c r="M9" s="3" t="n">
        <v>170</v>
      </c>
    </row>
    <row r="10" ht="22" customHeight="1">
      <c r="A10" s="2" t="inlineStr">
        <is>
          <t>A02</t>
        </is>
      </c>
      <c r="B10" s="3" t="n">
        <v>150</v>
      </c>
      <c r="C10" s="3" t="n">
        <v>5</v>
      </c>
      <c r="D10" s="3" t="n">
        <v>2014</v>
      </c>
      <c r="E10" s="3" t="n">
        <v>5</v>
      </c>
      <c r="F10" s="3" t="n">
        <v>32</v>
      </c>
      <c r="G10" s="3" t="n">
        <v>4</v>
      </c>
      <c r="H10" s="3" t="n">
        <v>1024</v>
      </c>
      <c r="I10" s="3" t="n">
        <v>8</v>
      </c>
      <c r="J10" s="3" t="n">
        <v>2</v>
      </c>
      <c r="K10" s="3" t="n">
        <v>4</v>
      </c>
      <c r="L10" s="3" t="n">
        <v>2</v>
      </c>
      <c r="M10" s="3" t="n">
        <v>180</v>
      </c>
    </row>
    <row r="11" ht="22" customHeight="1">
      <c r="A11" s="2" t="inlineStr">
        <is>
          <t>A03</t>
        </is>
      </c>
      <c r="B11" s="3" t="n">
        <v>160</v>
      </c>
      <c r="C11" s="3" t="n">
        <v>5</v>
      </c>
      <c r="D11" s="3" t="n">
        <v>2016</v>
      </c>
      <c r="E11" s="3" t="n">
        <v>5</v>
      </c>
      <c r="F11" s="3" t="n">
        <v>256</v>
      </c>
      <c r="G11" s="3" t="n">
        <v>32</v>
      </c>
      <c r="H11" s="3" t="n">
        <v>3072</v>
      </c>
      <c r="I11" s="3" t="n">
        <v>16</v>
      </c>
      <c r="J11" s="3" t="n">
        <v>8</v>
      </c>
      <c r="K11" s="3" t="n">
        <v>4</v>
      </c>
      <c r="L11" s="3" t="n">
        <v>1</v>
      </c>
      <c r="M11" s="3" t="n">
        <v>420</v>
      </c>
    </row>
    <row r="12" ht="22" customHeight="1">
      <c r="A12" s="2" t="inlineStr">
        <is>
          <t>A04</t>
        </is>
      </c>
      <c r="B12" s="3" t="n">
        <v>170</v>
      </c>
      <c r="C12" s="3" t="n">
        <v>6</v>
      </c>
      <c r="D12" s="3" t="n">
        <v>2016</v>
      </c>
      <c r="E12" s="3" t="n">
        <v>5</v>
      </c>
      <c r="F12" s="3" t="n">
        <v>32</v>
      </c>
      <c r="G12" s="3" t="n">
        <v>16</v>
      </c>
      <c r="H12" s="3" t="n">
        <v>2048</v>
      </c>
      <c r="I12" s="3" t="n">
        <v>8</v>
      </c>
      <c r="J12" s="3" t="n">
        <v>8</v>
      </c>
      <c r="K12" s="3" t="n">
        <v>4</v>
      </c>
      <c r="L12" s="3" t="n">
        <v>2</v>
      </c>
      <c r="M12" s="3" t="n">
        <v>110</v>
      </c>
    </row>
    <row r="13" ht="22" customHeight="1">
      <c r="A13" s="2" t="inlineStr">
        <is>
          <t>A05</t>
        </is>
      </c>
      <c r="B13" s="3" t="n">
        <v>115</v>
      </c>
      <c r="C13" s="3" t="n">
        <v>6</v>
      </c>
      <c r="D13" s="3" t="n">
        <v>2015</v>
      </c>
      <c r="E13" s="3" t="n">
        <v>4</v>
      </c>
      <c r="F13" s="3" t="n">
        <v>64</v>
      </c>
      <c r="G13" s="3" t="n">
        <v>8</v>
      </c>
      <c r="H13" s="3" t="n">
        <v>1024</v>
      </c>
      <c r="I13" s="3" t="n">
        <v>8</v>
      </c>
      <c r="J13" s="3" t="n">
        <v>5</v>
      </c>
      <c r="K13" s="3" t="n">
        <v>4</v>
      </c>
      <c r="L13" s="3" t="n">
        <v>2</v>
      </c>
      <c r="M13" s="3" t="n">
        <v>180</v>
      </c>
    </row>
    <row r="14" ht="22" customHeight="1">
      <c r="A14" s="2" t="inlineStr">
        <is>
          <t>A06</t>
        </is>
      </c>
      <c r="B14" s="3" t="n">
        <v>151</v>
      </c>
      <c r="C14" s="3" t="n">
        <v>5</v>
      </c>
      <c r="D14" s="3" t="n">
        <v>2016</v>
      </c>
      <c r="E14" s="3" t="n">
        <v>5</v>
      </c>
      <c r="F14" s="3" t="n">
        <v>256</v>
      </c>
      <c r="G14" s="3" t="n">
        <v>64</v>
      </c>
      <c r="H14" s="3" t="n">
        <v>4096</v>
      </c>
      <c r="I14" s="3" t="n">
        <v>16</v>
      </c>
      <c r="J14" s="3" t="n">
        <v>8</v>
      </c>
      <c r="K14" s="3" t="n">
        <v>4</v>
      </c>
      <c r="L14" s="3" t="n">
        <v>2</v>
      </c>
      <c r="M14" s="3" t="n">
        <v>440</v>
      </c>
    </row>
    <row r="15" ht="22" customHeight="1">
      <c r="A15" s="2" t="inlineStr">
        <is>
          <t>A07</t>
        </is>
      </c>
      <c r="B15" s="3" t="n">
        <v>310</v>
      </c>
      <c r="C15" s="3" t="n">
        <v>10</v>
      </c>
      <c r="D15" s="3" t="n">
        <v>2017</v>
      </c>
      <c r="E15" s="3" t="n">
        <v>8</v>
      </c>
      <c r="F15" s="3" t="n">
        <v>256</v>
      </c>
      <c r="G15" s="3" t="n">
        <v>16</v>
      </c>
      <c r="H15" s="3" t="n">
        <v>2048</v>
      </c>
      <c r="I15" s="3" t="n">
        <v>5</v>
      </c>
      <c r="J15" s="3" t="n">
        <v>2</v>
      </c>
      <c r="K15" s="3" t="n">
        <v>4</v>
      </c>
      <c r="L15" s="3" t="n">
        <v>2</v>
      </c>
      <c r="M15" s="3" t="n">
        <v>100</v>
      </c>
    </row>
    <row r="16" ht="22" customHeight="1">
      <c r="A16" s="2" t="inlineStr">
        <is>
          <t>A08</t>
        </is>
      </c>
      <c r="B16" s="3" t="n">
        <v>145</v>
      </c>
      <c r="C16" s="3" t="n">
        <v>11</v>
      </c>
      <c r="D16" s="3" t="n">
        <v>2015</v>
      </c>
      <c r="E16" s="3" t="n">
        <v>4</v>
      </c>
      <c r="F16" s="3" t="n">
        <v>32</v>
      </c>
      <c r="G16" s="3" t="n">
        <v>8</v>
      </c>
      <c r="H16" s="3" t="n">
        <v>1024</v>
      </c>
      <c r="I16" s="3" t="n">
        <v>5</v>
      </c>
      <c r="J16" s="3" t="n">
        <v>2</v>
      </c>
      <c r="K16" s="3" t="n">
        <v>4</v>
      </c>
      <c r="L16" s="3" t="n">
        <v>2</v>
      </c>
      <c r="M16" s="3" t="n">
        <v>130</v>
      </c>
    </row>
    <row r="17" ht="22" customHeight="1">
      <c r="A17" s="2" t="inlineStr">
        <is>
          <t>A09</t>
        </is>
      </c>
      <c r="B17" s="3" t="n">
        <v>110</v>
      </c>
      <c r="C17" s="3" t="n">
        <v>3</v>
      </c>
      <c r="D17" s="3" t="n">
        <v>2015</v>
      </c>
      <c r="E17" s="3" t="n">
        <v>5</v>
      </c>
      <c r="F17" s="3" t="n">
        <v>32</v>
      </c>
      <c r="G17" s="3" t="n">
        <v>8</v>
      </c>
      <c r="H17" s="3" t="n">
        <v>1024</v>
      </c>
      <c r="I17" s="3" t="n">
        <v>13</v>
      </c>
      <c r="J17" s="3" t="n">
        <v>5</v>
      </c>
      <c r="K17" s="3" t="n">
        <v>4</v>
      </c>
      <c r="L17" s="3" t="n">
        <v>2</v>
      </c>
      <c r="M17" s="3" t="n">
        <v>200</v>
      </c>
    </row>
    <row r="18" ht="22" customHeight="1">
      <c r="A18" s="2" t="inlineStr">
        <is>
          <t>A10</t>
        </is>
      </c>
      <c r="B18" s="3" t="n">
        <v>160</v>
      </c>
      <c r="C18" s="3" t="n">
        <v>5</v>
      </c>
      <c r="D18" s="3" t="n">
        <v>2016</v>
      </c>
      <c r="E18" s="3" t="n">
        <v>5</v>
      </c>
      <c r="F18" s="3" t="n">
        <v>256</v>
      </c>
      <c r="G18" s="3" t="n">
        <v>32</v>
      </c>
      <c r="H18" s="3" t="n">
        <v>3072</v>
      </c>
      <c r="I18" s="3" t="n">
        <v>16</v>
      </c>
      <c r="J18" s="3" t="n">
        <v>8</v>
      </c>
      <c r="K18" s="3" t="n">
        <v>4</v>
      </c>
      <c r="L18" s="3" t="n">
        <v>1</v>
      </c>
      <c r="M18" s="3" t="n">
        <v>420</v>
      </c>
    </row>
    <row r="19" ht="22" customHeight="1">
      <c r="A19" s="2" t="inlineStr">
        <is>
          <t>A11</t>
        </is>
      </c>
      <c r="B19" s="3" t="n">
        <v>130</v>
      </c>
      <c r="C19" s="3" t="n">
        <v>4</v>
      </c>
      <c r="D19" s="3" t="n">
        <v>2013</v>
      </c>
      <c r="E19" s="3" t="n">
        <v>4</v>
      </c>
      <c r="F19" s="3" t="n">
        <v>64</v>
      </c>
      <c r="G19" s="3" t="n">
        <v>8</v>
      </c>
      <c r="H19" s="3" t="n">
        <v>1024</v>
      </c>
      <c r="I19" s="3" t="n">
        <v>8</v>
      </c>
      <c r="J19" s="3" t="n">
        <v>1</v>
      </c>
      <c r="K19" s="3" t="n">
        <v>4</v>
      </c>
      <c r="L19" s="3" t="n">
        <v>2</v>
      </c>
      <c r="M19" s="3" t="n">
        <v>290</v>
      </c>
    </row>
    <row r="20" ht="22" customHeight="1">
      <c r="A20" s="2" t="inlineStr">
        <is>
          <t>A12</t>
        </is>
      </c>
      <c r="B20" s="3" t="n">
        <v>170</v>
      </c>
      <c r="C20" s="3" t="n">
        <v>6</v>
      </c>
      <c r="D20" s="3" t="n">
        <v>2015</v>
      </c>
      <c r="E20" s="3" t="n">
        <v>5</v>
      </c>
      <c r="F20" s="3" t="n">
        <v>256</v>
      </c>
      <c r="G20" s="3" t="n">
        <v>16</v>
      </c>
      <c r="H20" s="3" t="n">
        <v>2048</v>
      </c>
      <c r="I20" s="3" t="n">
        <v>13</v>
      </c>
      <c r="J20" s="3" t="n">
        <v>5</v>
      </c>
      <c r="K20" s="3" t="n">
        <v>4</v>
      </c>
      <c r="L20" s="3" t="n">
        <v>2</v>
      </c>
      <c r="M20" s="3" t="n">
        <v>370</v>
      </c>
    </row>
    <row r="21" ht="22" customHeight="1">
      <c r="A21" s="2" t="inlineStr">
        <is>
          <t>A13</t>
        </is>
      </c>
      <c r="B21" s="3" t="n">
        <v>143</v>
      </c>
      <c r="C21" s="3" t="n">
        <v>4</v>
      </c>
      <c r="D21" s="3" t="n">
        <v>2017</v>
      </c>
      <c r="E21" s="3" t="n">
        <v>5</v>
      </c>
      <c r="F21" s="3" t="n">
        <v>256</v>
      </c>
      <c r="G21" s="3" t="n">
        <v>16</v>
      </c>
      <c r="H21" s="3" t="n">
        <v>2048</v>
      </c>
      <c r="I21" s="3" t="n">
        <v>13</v>
      </c>
      <c r="J21" s="3" t="n">
        <v>5</v>
      </c>
      <c r="K21" s="3" t="n">
        <v>4</v>
      </c>
      <c r="L21" s="3" t="n">
        <v>2</v>
      </c>
      <c r="M21" s="3" t="n">
        <v>150</v>
      </c>
    </row>
    <row r="22" ht="22" customHeight="1">
      <c r="A22" s="2" t="inlineStr">
        <is>
          <t>A14</t>
        </is>
      </c>
      <c r="B22" s="3" t="n">
        <v>176</v>
      </c>
      <c r="C22" s="3" t="n">
        <v>6</v>
      </c>
      <c r="D22" s="3" t="n">
        <v>2013</v>
      </c>
      <c r="E22" s="3" t="n">
        <v>5</v>
      </c>
      <c r="F22" s="3" t="n">
        <v>32</v>
      </c>
      <c r="G22" s="3" t="n">
        <v>4</v>
      </c>
      <c r="H22" s="3" t="n">
        <v>1024</v>
      </c>
      <c r="I22" s="3" t="n">
        <v>8</v>
      </c>
      <c r="J22" s="3" t="n">
        <v>1</v>
      </c>
      <c r="K22" s="3" t="n">
        <v>4</v>
      </c>
      <c r="L22" s="3" t="n">
        <v>2</v>
      </c>
      <c r="M22" s="3" t="n">
        <v>230</v>
      </c>
    </row>
    <row r="23" ht="22" customHeight="1">
      <c r="A23" s="2" t="inlineStr">
        <is>
          <t>A15</t>
        </is>
      </c>
      <c r="B23" s="3" t="n">
        <v>328</v>
      </c>
      <c r="C23" s="3" t="n">
        <v>11</v>
      </c>
      <c r="D23" s="3" t="n">
        <v>2014</v>
      </c>
      <c r="E23" s="3" t="n">
        <v>8</v>
      </c>
      <c r="F23" s="3" t="n">
        <v>64</v>
      </c>
      <c r="G23" s="3" t="n">
        <v>8</v>
      </c>
      <c r="H23" s="3" t="n">
        <v>1024</v>
      </c>
      <c r="I23" s="3" t="n">
        <v>5</v>
      </c>
      <c r="J23" s="3" t="n">
        <v>2</v>
      </c>
      <c r="K23" s="3" t="n">
        <v>4</v>
      </c>
      <c r="L23" s="3" t="n">
        <v>2</v>
      </c>
      <c r="M23" s="3" t="n">
        <v>200</v>
      </c>
    </row>
    <row r="24" ht="22" customHeight="1">
      <c r="A24" s="2" t="inlineStr">
        <is>
          <t>A16</t>
        </is>
      </c>
      <c r="B24" s="3" t="n">
        <v>132</v>
      </c>
      <c r="C24" s="3" t="n">
        <v>4</v>
      </c>
      <c r="D24" s="3" t="n">
        <v>2012</v>
      </c>
      <c r="E24" s="3" t="n">
        <v>4</v>
      </c>
      <c r="F24" s="3" t="n">
        <v>32</v>
      </c>
      <c r="G24" s="3" t="n">
        <v>8</v>
      </c>
      <c r="H24" s="3" t="n">
        <v>1024</v>
      </c>
      <c r="I24" s="3" t="n">
        <v>8</v>
      </c>
      <c r="J24" s="3" t="n">
        <v>1</v>
      </c>
      <c r="K24" s="3" t="n">
        <v>3</v>
      </c>
      <c r="L24" s="3" t="n">
        <v>2</v>
      </c>
      <c r="M24" s="3" t="n">
        <v>210</v>
      </c>
    </row>
    <row r="25" ht="22" customHeight="1">
      <c r="A25" s="2" t="inlineStr">
        <is>
          <t>A17</t>
        </is>
      </c>
      <c r="B25" s="3" t="n">
        <v>135</v>
      </c>
      <c r="C25" s="3" t="n">
        <v>4</v>
      </c>
      <c r="D25" s="3" t="n">
        <v>2016</v>
      </c>
      <c r="E25" s="3" t="n">
        <v>5</v>
      </c>
      <c r="F25" s="3" t="n">
        <v>256</v>
      </c>
      <c r="G25" s="3" t="n">
        <v>16</v>
      </c>
      <c r="H25" s="3" t="n">
        <v>2048</v>
      </c>
      <c r="I25" s="3" t="n">
        <v>13</v>
      </c>
      <c r="J25" s="3" t="n">
        <v>8</v>
      </c>
      <c r="K25" s="3" t="n">
        <v>4</v>
      </c>
      <c r="L25" s="3" t="n">
        <v>2</v>
      </c>
      <c r="M25" s="3" t="n">
        <v>250</v>
      </c>
    </row>
    <row r="26" ht="22" customHeight="1">
      <c r="A26" s="2" t="inlineStr">
        <is>
          <t>A18</t>
        </is>
      </c>
      <c r="B26" s="3" t="n">
        <v>170</v>
      </c>
      <c r="C26" s="3" t="n">
        <v>6</v>
      </c>
      <c r="D26" s="3" t="n">
        <v>2011</v>
      </c>
      <c r="E26" s="3" t="n">
        <v>4</v>
      </c>
      <c r="F26" s="3" t="n">
        <v>32</v>
      </c>
      <c r="G26" s="3" t="n">
        <v>16</v>
      </c>
      <c r="H26" s="3" t="n">
        <v>1024</v>
      </c>
      <c r="I26" s="3" t="n">
        <v>8</v>
      </c>
      <c r="J26" s="3" t="n">
        <v>2</v>
      </c>
      <c r="K26" s="3" t="n">
        <v>3</v>
      </c>
      <c r="L26" s="3" t="n">
        <v>2</v>
      </c>
      <c r="M26" s="3" t="n">
        <v>160</v>
      </c>
    </row>
    <row r="27" ht="22" customHeight="1">
      <c r="A27" s="2" t="inlineStr">
        <is>
          <t>A19</t>
        </is>
      </c>
      <c r="B27" s="3" t="n">
        <v>150</v>
      </c>
      <c r="C27" s="3" t="n">
        <v>5</v>
      </c>
      <c r="D27" s="3" t="n">
        <v>2014</v>
      </c>
      <c r="E27" s="3" t="n">
        <v>5</v>
      </c>
      <c r="F27" s="3" t="n">
        <v>32</v>
      </c>
      <c r="G27" s="3" t="n">
        <v>8</v>
      </c>
      <c r="H27" s="3" t="n">
        <v>1024</v>
      </c>
      <c r="I27" s="3" t="n">
        <v>13</v>
      </c>
      <c r="J27" s="3" t="n">
        <v>5</v>
      </c>
      <c r="K27" s="3" t="n">
        <v>4</v>
      </c>
      <c r="L27" s="3" t="n">
        <v>2</v>
      </c>
      <c r="M27" s="3" t="n">
        <v>190</v>
      </c>
    </row>
    <row r="28" ht="22" customHeight="1">
      <c r="A28" s="2" t="inlineStr">
        <is>
          <t>A20</t>
        </is>
      </c>
      <c r="B28" s="3" t="n">
        <v>143</v>
      </c>
      <c r="C28" s="3" t="n">
        <v>4</v>
      </c>
      <c r="D28" s="3" t="n">
        <v>2017</v>
      </c>
      <c r="E28" s="3" t="n">
        <v>5</v>
      </c>
      <c r="F28" s="3" t="n">
        <v>256</v>
      </c>
      <c r="G28" s="3" t="n">
        <v>16</v>
      </c>
      <c r="H28" s="3" t="n">
        <v>2048</v>
      </c>
      <c r="I28" s="3" t="n">
        <v>13</v>
      </c>
      <c r="J28" s="3" t="n">
        <v>5</v>
      </c>
      <c r="K28" s="3" t="n">
        <v>4</v>
      </c>
      <c r="L28" s="3" t="n">
        <v>2</v>
      </c>
      <c r="M28" s="3" t="n">
        <v>150</v>
      </c>
    </row>
    <row r="29"/>
    <row r="30">
      <c r="A30" s="4" t="inlineStr">
        <is>
          <t>Nilai MAX</t>
        </is>
      </c>
      <c r="B30" s="5">
        <f>MAX(B9:B28)</f>
        <v/>
      </c>
      <c r="C30" s="5">
        <f>MAX(C9:C28)</f>
        <v/>
      </c>
      <c r="D30" s="5">
        <f>MAX(D9:D28)</f>
        <v/>
      </c>
      <c r="E30" s="5">
        <f>MAX(E9:E28)</f>
        <v/>
      </c>
      <c r="F30" s="5">
        <f>MAX(F9:F28)</f>
        <v/>
      </c>
      <c r="G30" s="5">
        <f>MAX(G9:G28)</f>
        <v/>
      </c>
      <c r="H30" s="5">
        <f>MAX(H9:H28)</f>
        <v/>
      </c>
      <c r="I30" s="5">
        <f>MAX(I9:I28)</f>
        <v/>
      </c>
      <c r="J30" s="5">
        <f>MAX(J9:J28)</f>
        <v/>
      </c>
      <c r="K30" s="5">
        <f>MAX(K9:K28)</f>
        <v/>
      </c>
      <c r="L30" s="5">
        <f>MAX(L9:L28)</f>
        <v/>
      </c>
      <c r="M30" s="5">
        <f>MAX(M9:M28)</f>
        <v/>
      </c>
    </row>
    <row r="31">
      <c r="A31" s="4" t="inlineStr">
        <is>
          <t>Nilai MIN</t>
        </is>
      </c>
      <c r="B31" s="5">
        <f>MIN(B9:B28)</f>
        <v/>
      </c>
      <c r="C31" s="5">
        <f>MIN(C9:C28)</f>
        <v/>
      </c>
      <c r="D31" s="5">
        <f>MIN(D9:D28)</f>
        <v/>
      </c>
      <c r="E31" s="5">
        <f>MIN(E9:E28)</f>
        <v/>
      </c>
      <c r="F31" s="5">
        <f>MIN(F9:F28)</f>
        <v/>
      </c>
      <c r="G31" s="5">
        <f>MIN(G9:G28)</f>
        <v/>
      </c>
      <c r="H31" s="5">
        <f>MIN(H9:H28)</f>
        <v/>
      </c>
      <c r="I31" s="5">
        <f>MIN(I9:I28)</f>
        <v/>
      </c>
      <c r="J31" s="5">
        <f>MIN(J9:J28)</f>
        <v/>
      </c>
      <c r="K31" s="5">
        <f>MIN(K9:K28)</f>
        <v/>
      </c>
      <c r="L31" s="5">
        <f>MIN(L9:L28)</f>
        <v/>
      </c>
      <c r="M31" s="5">
        <f>MIN(M9:M28)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25" customWidth="1" min="3" max="3"/>
    <col width="14" customWidth="1" min="4" max="4"/>
    <col width="15" customWidth="1" min="5" max="5"/>
    <col width="12" customWidth="1" min="6" max="6"/>
    <col width="14" customWidth="1" min="7" max="7"/>
  </cols>
  <sheetData>
    <row r="1">
      <c r="A1" t="inlineStr">
        <is>
          <t>PEMBOBOTAN KRITERIA — METODE SWARA</t>
        </is>
      </c>
    </row>
    <row r="2"/>
    <row r="3">
      <c r="A3" s="1" t="inlineStr">
        <is>
          <t>Prioritas</t>
        </is>
      </c>
      <c r="B3" s="1" t="inlineStr">
        <is>
          <t>Kode</t>
        </is>
      </c>
      <c r="C3" s="1" t="inlineStr">
        <is>
          <t>Nama Kriteria</t>
        </is>
      </c>
      <c r="D3" s="1" t="inlineStr">
        <is>
          <t>Sj (input)</t>
        </is>
      </c>
      <c r="E3" s="1" t="inlineStr">
        <is>
          <t>Kj = Sj + 1</t>
        </is>
      </c>
      <c r="F3" s="1" t="inlineStr">
        <is>
          <t>Qj</t>
        </is>
      </c>
      <c r="G3" s="1" t="inlineStr">
        <is>
          <t>Wj (Bobot)</t>
        </is>
      </c>
    </row>
    <row r="4" ht="22" customHeight="1">
      <c r="A4" s="6" t="n">
        <v>1</v>
      </c>
      <c r="B4" s="6" t="inlineStr">
        <is>
          <t>K12</t>
        </is>
      </c>
      <c r="C4" s="7" t="inlineStr">
        <is>
          <t>Approx price</t>
        </is>
      </c>
      <c r="D4" s="8" t="n">
        <v>0</v>
      </c>
      <c r="E4" s="8" t="n">
        <v>1</v>
      </c>
      <c r="F4" s="9" t="n">
        <v>1</v>
      </c>
      <c r="G4" s="9">
        <f>F4/SUM(F$4:F$15)</f>
        <v/>
      </c>
    </row>
    <row r="5" ht="22" customHeight="1">
      <c r="A5" s="6" t="n">
        <v>2</v>
      </c>
      <c r="B5" s="6" t="inlineStr">
        <is>
          <t>K7</t>
        </is>
      </c>
      <c r="C5" s="7" t="inlineStr">
        <is>
          <t>RAM</t>
        </is>
      </c>
      <c r="D5" s="8" t="n">
        <v>0.05</v>
      </c>
      <c r="E5" s="8">
        <f>D5+1</f>
        <v/>
      </c>
      <c r="F5" s="9">
        <f>F4/E5</f>
        <v/>
      </c>
      <c r="G5" s="9">
        <f>F5/SUM(F$4:F$15)</f>
        <v/>
      </c>
    </row>
    <row r="6" ht="22" customHeight="1">
      <c r="A6" s="6" t="n">
        <v>3</v>
      </c>
      <c r="B6" s="6" t="inlineStr">
        <is>
          <t>K6</t>
        </is>
      </c>
      <c r="C6" s="7" t="inlineStr">
        <is>
          <t>Internal memory</t>
        </is>
      </c>
      <c r="D6" s="8" t="n">
        <v>0.05</v>
      </c>
      <c r="E6" s="8">
        <f>D6+1</f>
        <v/>
      </c>
      <c r="F6" s="9">
        <f>F5/E6</f>
        <v/>
      </c>
      <c r="G6" s="9">
        <f>F6/SUM(F$4:F$15)</f>
        <v/>
      </c>
    </row>
    <row r="7" ht="22" customHeight="1">
      <c r="A7" s="6" t="n">
        <v>4</v>
      </c>
      <c r="B7" s="6" t="inlineStr">
        <is>
          <t>K3</t>
        </is>
      </c>
      <c r="C7" s="7" t="inlineStr">
        <is>
          <t>Year of production</t>
        </is>
      </c>
      <c r="D7" s="8" t="n">
        <v>0.1</v>
      </c>
      <c r="E7" s="8">
        <f>D7+1</f>
        <v/>
      </c>
      <c r="F7" s="9">
        <f>F6/E7</f>
        <v/>
      </c>
      <c r="G7" s="9">
        <f>F7/SUM(F$4:F$15)</f>
        <v/>
      </c>
    </row>
    <row r="8" ht="22" customHeight="1">
      <c r="A8" s="6" t="n">
        <v>5</v>
      </c>
      <c r="B8" s="6" t="inlineStr">
        <is>
          <t>K8</t>
        </is>
      </c>
      <c r="C8" s="7" t="inlineStr">
        <is>
          <t>Primary camera</t>
        </is>
      </c>
      <c r="D8" s="8" t="n">
        <v>0.1</v>
      </c>
      <c r="E8" s="8">
        <f>D8+1</f>
        <v/>
      </c>
      <c r="F8" s="9">
        <f>F7/E8</f>
        <v/>
      </c>
      <c r="G8" s="9">
        <f>F8/SUM(F$4:F$15)</f>
        <v/>
      </c>
    </row>
    <row r="9" ht="22" customHeight="1">
      <c r="A9" s="6" t="n">
        <v>6</v>
      </c>
      <c r="B9" s="6" t="inlineStr">
        <is>
          <t>K5</t>
        </is>
      </c>
      <c r="C9" s="7" t="inlineStr">
        <is>
          <t>Memory card</t>
        </is>
      </c>
      <c r="D9" s="8" t="n">
        <v>0.15</v>
      </c>
      <c r="E9" s="8">
        <f>D9+1</f>
        <v/>
      </c>
      <c r="F9" s="9">
        <f>F8/E9</f>
        <v/>
      </c>
      <c r="G9" s="9">
        <f>F9/SUM(F$4:F$15)</f>
        <v/>
      </c>
    </row>
    <row r="10" ht="22" customHeight="1">
      <c r="A10" s="6" t="n">
        <v>7</v>
      </c>
      <c r="B10" s="6" t="inlineStr">
        <is>
          <t>K4</t>
        </is>
      </c>
      <c r="C10" s="7" t="inlineStr">
        <is>
          <t>Display resolution</t>
        </is>
      </c>
      <c r="D10" s="8" t="n">
        <v>0.1</v>
      </c>
      <c r="E10" s="8">
        <f>D10+1</f>
        <v/>
      </c>
      <c r="F10" s="9">
        <f>F9/E10</f>
        <v/>
      </c>
      <c r="G10" s="9">
        <f>F10/SUM(F$4:F$15)</f>
        <v/>
      </c>
    </row>
    <row r="11" ht="22" customHeight="1">
      <c r="A11" s="6" t="n">
        <v>8</v>
      </c>
      <c r="B11" s="6" t="inlineStr">
        <is>
          <t>K9</t>
        </is>
      </c>
      <c r="C11" s="7" t="inlineStr">
        <is>
          <t>Secondary camera</t>
        </is>
      </c>
      <c r="D11" s="8" t="n">
        <v>0.15</v>
      </c>
      <c r="E11" s="8">
        <f>D11+1</f>
        <v/>
      </c>
      <c r="F11" s="9">
        <f>F10/E11</f>
        <v/>
      </c>
      <c r="G11" s="9">
        <f>F11/SUM(F$4:F$15)</f>
        <v/>
      </c>
    </row>
    <row r="12" ht="22" customHeight="1">
      <c r="A12" s="6" t="n">
        <v>9</v>
      </c>
      <c r="B12" s="6" t="inlineStr">
        <is>
          <t>K1</t>
        </is>
      </c>
      <c r="C12" s="7" t="inlineStr">
        <is>
          <t>Weight g</t>
        </is>
      </c>
      <c r="D12" s="8" t="n">
        <v>0.15</v>
      </c>
      <c r="E12" s="8">
        <f>D12+1</f>
        <v/>
      </c>
      <c r="F12" s="9">
        <f>F11/E12</f>
        <v/>
      </c>
      <c r="G12" s="9">
        <f>F12/SUM(F$4:F$15)</f>
        <v/>
      </c>
    </row>
    <row r="13" ht="22" customHeight="1">
      <c r="A13" s="6" t="n">
        <v>10</v>
      </c>
      <c r="B13" s="6" t="inlineStr">
        <is>
          <t>K10</t>
        </is>
      </c>
      <c r="C13" s="7" t="inlineStr">
        <is>
          <t>Bluetooth</t>
        </is>
      </c>
      <c r="D13" s="8" t="n">
        <v>0.1</v>
      </c>
      <c r="E13" s="8">
        <f>D13+1</f>
        <v/>
      </c>
      <c r="F13" s="9">
        <f>F12/E13</f>
        <v/>
      </c>
      <c r="G13" s="9">
        <f>F13/SUM(F$4:F$15)</f>
        <v/>
      </c>
    </row>
    <row r="14" ht="22" customHeight="1">
      <c r="A14" s="6" t="n">
        <v>11</v>
      </c>
      <c r="B14" s="6" t="inlineStr">
        <is>
          <t>K11</t>
        </is>
      </c>
      <c r="C14" s="7" t="inlineStr">
        <is>
          <t>USB</t>
        </is>
      </c>
      <c r="D14" s="8" t="n">
        <v>0.1</v>
      </c>
      <c r="E14" s="8">
        <f>D14+1</f>
        <v/>
      </c>
      <c r="F14" s="9">
        <f>F13/E14</f>
        <v/>
      </c>
      <c r="G14" s="9">
        <f>F14/SUM(F$4:F$15)</f>
        <v/>
      </c>
    </row>
    <row r="15" ht="22" customHeight="1">
      <c r="A15" s="6" t="n">
        <v>12</v>
      </c>
      <c r="B15" s="6" t="inlineStr">
        <is>
          <t>K2</t>
        </is>
      </c>
      <c r="C15" s="7" t="inlineStr">
        <is>
          <t>Weight oz</t>
        </is>
      </c>
      <c r="D15" s="8" t="n">
        <v>0.05</v>
      </c>
      <c r="E15" s="8">
        <f>D15+1</f>
        <v/>
      </c>
      <c r="F15" s="9">
        <f>F14/E15</f>
        <v/>
      </c>
      <c r="G15" s="9">
        <f>F15/SUM(F$4:F$15)</f>
        <v/>
      </c>
    </row>
    <row r="16"/>
    <row r="17"/>
    <row r="18"/>
    <row r="19"/>
    <row r="20">
      <c r="A20" s="10" t="inlineStr">
        <is>
          <t>REKAP BOBOT SWARA — Urutan K1 s/d K_n</t>
        </is>
      </c>
    </row>
    <row r="21">
      <c r="A21" s="1" t="inlineStr">
        <is>
          <t>No</t>
        </is>
      </c>
      <c r="B21" s="1" t="inlineStr">
        <is>
          <t>Kode</t>
        </is>
      </c>
      <c r="C21" s="1" t="inlineStr">
        <is>
          <t>Nama Kriteria</t>
        </is>
      </c>
      <c r="D21" s="1" t="inlineStr">
        <is>
          <t>Tipe</t>
        </is>
      </c>
      <c r="E21" s="1" t="inlineStr">
        <is>
          <t>Wj (Bobot)</t>
        </is>
      </c>
    </row>
    <row r="22" ht="22" customHeight="1">
      <c r="A22" s="6" t="n">
        <v>1</v>
      </c>
      <c r="B22" s="6" t="inlineStr">
        <is>
          <t>K1</t>
        </is>
      </c>
      <c r="C22" s="7" t="inlineStr">
        <is>
          <t>Weight g</t>
        </is>
      </c>
      <c r="D22" s="6" t="inlineStr">
        <is>
          <t>Cost</t>
        </is>
      </c>
      <c r="E22" s="9">
        <f>VLOOKUP(B22, B$4:G$15, 6, FALSE)</f>
        <v/>
      </c>
    </row>
    <row r="23" ht="22" customHeight="1">
      <c r="A23" s="6" t="n">
        <v>2</v>
      </c>
      <c r="B23" s="6" t="inlineStr">
        <is>
          <t>K2</t>
        </is>
      </c>
      <c r="C23" s="7" t="inlineStr">
        <is>
          <t>Weight oz</t>
        </is>
      </c>
      <c r="D23" s="6" t="inlineStr">
        <is>
          <t>Cost</t>
        </is>
      </c>
      <c r="E23" s="9">
        <f>VLOOKUP(B23, B$4:G$15, 6, FALSE)</f>
        <v/>
      </c>
    </row>
    <row r="24" ht="22" customHeight="1">
      <c r="A24" s="6" t="n">
        <v>3</v>
      </c>
      <c r="B24" s="6" t="inlineStr">
        <is>
          <t>K3</t>
        </is>
      </c>
      <c r="C24" s="7" t="inlineStr">
        <is>
          <t>Year of production</t>
        </is>
      </c>
      <c r="D24" s="6" t="inlineStr">
        <is>
          <t>Benefit</t>
        </is>
      </c>
      <c r="E24" s="9">
        <f>VLOOKUP(B24, B$4:G$15, 6, FALSE)</f>
        <v/>
      </c>
    </row>
    <row r="25" ht="22" customHeight="1">
      <c r="A25" s="6" t="n">
        <v>4</v>
      </c>
      <c r="B25" s="6" t="inlineStr">
        <is>
          <t>K4</t>
        </is>
      </c>
      <c r="C25" s="7" t="inlineStr">
        <is>
          <t>Display resolution</t>
        </is>
      </c>
      <c r="D25" s="6" t="inlineStr">
        <is>
          <t>Benefit</t>
        </is>
      </c>
      <c r="E25" s="9">
        <f>VLOOKUP(B25, B$4:G$15, 6, FALSE)</f>
        <v/>
      </c>
    </row>
    <row r="26" ht="22" customHeight="1">
      <c r="A26" s="6" t="n">
        <v>5</v>
      </c>
      <c r="B26" s="6" t="inlineStr">
        <is>
          <t>K5</t>
        </is>
      </c>
      <c r="C26" s="7" t="inlineStr">
        <is>
          <t>Memory card</t>
        </is>
      </c>
      <c r="D26" s="6" t="inlineStr">
        <is>
          <t>Benefit</t>
        </is>
      </c>
      <c r="E26" s="9">
        <f>VLOOKUP(B26, B$4:G$15, 6, FALSE)</f>
        <v/>
      </c>
    </row>
    <row r="27" ht="22" customHeight="1">
      <c r="A27" s="6" t="n">
        <v>6</v>
      </c>
      <c r="B27" s="6" t="inlineStr">
        <is>
          <t>K6</t>
        </is>
      </c>
      <c r="C27" s="7" t="inlineStr">
        <is>
          <t>Internal memory</t>
        </is>
      </c>
      <c r="D27" s="6" t="inlineStr">
        <is>
          <t>Benefit</t>
        </is>
      </c>
      <c r="E27" s="9">
        <f>VLOOKUP(B27, B$4:G$15, 6, FALSE)</f>
        <v/>
      </c>
    </row>
    <row r="28" ht="22" customHeight="1">
      <c r="A28" s="6" t="n">
        <v>7</v>
      </c>
      <c r="B28" s="6" t="inlineStr">
        <is>
          <t>K7</t>
        </is>
      </c>
      <c r="C28" s="7" t="inlineStr">
        <is>
          <t>RAM</t>
        </is>
      </c>
      <c r="D28" s="6" t="inlineStr">
        <is>
          <t>Benefit</t>
        </is>
      </c>
      <c r="E28" s="9">
        <f>VLOOKUP(B28, B$4:G$15, 6, FALSE)</f>
        <v/>
      </c>
    </row>
    <row r="29" ht="22" customHeight="1">
      <c r="A29" s="6" t="n">
        <v>8</v>
      </c>
      <c r="B29" s="6" t="inlineStr">
        <is>
          <t>K8</t>
        </is>
      </c>
      <c r="C29" s="7" t="inlineStr">
        <is>
          <t>Primary camera</t>
        </is>
      </c>
      <c r="D29" s="6" t="inlineStr">
        <is>
          <t>Benefit</t>
        </is>
      </c>
      <c r="E29" s="9">
        <f>VLOOKUP(B29, B$4:G$15, 6, FALSE)</f>
        <v/>
      </c>
    </row>
    <row r="30" ht="22" customHeight="1">
      <c r="A30" s="6" t="n">
        <v>9</v>
      </c>
      <c r="B30" s="6" t="inlineStr">
        <is>
          <t>K9</t>
        </is>
      </c>
      <c r="C30" s="7" t="inlineStr">
        <is>
          <t>Secondary camera</t>
        </is>
      </c>
      <c r="D30" s="6" t="inlineStr">
        <is>
          <t>Benefit</t>
        </is>
      </c>
      <c r="E30" s="9">
        <f>VLOOKUP(B30, B$4:G$15, 6, FALSE)</f>
        <v/>
      </c>
    </row>
    <row r="31" ht="22" customHeight="1">
      <c r="A31" s="6" t="n">
        <v>10</v>
      </c>
      <c r="B31" s="6" t="inlineStr">
        <is>
          <t>K10</t>
        </is>
      </c>
      <c r="C31" s="7" t="inlineStr">
        <is>
          <t>Bluetooth</t>
        </is>
      </c>
      <c r="D31" s="6" t="inlineStr">
        <is>
          <t>Benefit</t>
        </is>
      </c>
      <c r="E31" s="9">
        <f>VLOOKUP(B31, B$4:G$15, 6, FALSE)</f>
        <v/>
      </c>
    </row>
    <row r="32" ht="22" customHeight="1">
      <c r="A32" s="6" t="n">
        <v>11</v>
      </c>
      <c r="B32" s="6" t="inlineStr">
        <is>
          <t>K11</t>
        </is>
      </c>
      <c r="C32" s="7" t="inlineStr">
        <is>
          <t>USB</t>
        </is>
      </c>
      <c r="D32" s="6" t="inlineStr">
        <is>
          <t>Benefit</t>
        </is>
      </c>
      <c r="E32" s="9">
        <f>VLOOKUP(B32, B$4:G$15, 6, FALSE)</f>
        <v/>
      </c>
    </row>
    <row r="33" ht="22" customHeight="1">
      <c r="A33" s="6" t="n">
        <v>12</v>
      </c>
      <c r="B33" s="6" t="inlineStr">
        <is>
          <t>K12</t>
        </is>
      </c>
      <c r="C33" s="7" t="inlineStr">
        <is>
          <t>Approx price</t>
        </is>
      </c>
      <c r="D33" s="6" t="inlineStr">
        <is>
          <t>Cost</t>
        </is>
      </c>
      <c r="E33" s="9">
        <f>VLOOKUP(B33, B$4:G$15, 6, 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NORMALISASI MATRIKS KEPUTUSAN — MAIRCA</t>
        </is>
      </c>
    </row>
    <row r="2">
      <c r="A2" s="11" t="inlineStr">
        <is>
          <t>Benefit: (xij-min)/(max-min) | Cost: (max-xij)/(max-min)</t>
        </is>
      </c>
    </row>
    <row r="3"/>
    <row r="4">
      <c r="A4" s="1" t="inlineStr">
        <is>
          <t>Alternatif</t>
        </is>
      </c>
      <c r="B4" s="1" t="inlineStr">
        <is>
          <t>K1</t>
        </is>
      </c>
      <c r="C4" s="1" t="inlineStr">
        <is>
          <t>K2</t>
        </is>
      </c>
      <c r="D4" s="1" t="inlineStr">
        <is>
          <t>K3</t>
        </is>
      </c>
      <c r="E4" s="1" t="inlineStr">
        <is>
          <t>K4</t>
        </is>
      </c>
      <c r="F4" s="1" t="inlineStr">
        <is>
          <t>K5</t>
        </is>
      </c>
      <c r="G4" s="1" t="inlineStr">
        <is>
          <t>K6</t>
        </is>
      </c>
      <c r="H4" s="1" t="inlineStr">
        <is>
          <t>K7</t>
        </is>
      </c>
      <c r="I4" s="1" t="inlineStr">
        <is>
          <t>K8</t>
        </is>
      </c>
      <c r="J4" s="1" t="inlineStr">
        <is>
          <t>K9</t>
        </is>
      </c>
      <c r="K4" s="1" t="inlineStr">
        <is>
          <t>K10</t>
        </is>
      </c>
      <c r="L4" s="1" t="inlineStr">
        <is>
          <t>K11</t>
        </is>
      </c>
      <c r="M4" s="1" t="inlineStr">
        <is>
          <t>K12</t>
        </is>
      </c>
    </row>
    <row r="5" ht="22" customHeight="1">
      <c r="A5" s="2" t="inlineStr">
        <is>
          <t>A01</t>
        </is>
      </c>
      <c r="B5" s="9">
        <f>( '1.Data'!B$30 - '1.Data'!B9 ) / ( '1.Data'!B$30 - '1.Data'!B$31 )</f>
        <v/>
      </c>
      <c r="C5" s="9">
        <f>( '1.Data'!C$30 - '1.Data'!C9 ) / ( '1.Data'!C$30 - '1.Data'!C$31 )</f>
        <v/>
      </c>
      <c r="D5" s="9">
        <f>( '1.Data'!D9 - '1.Data'!D$31 ) / ( '1.Data'!D$30 - '1.Data'!D$31 )</f>
        <v/>
      </c>
      <c r="E5" s="9">
        <f>( '1.Data'!E9 - '1.Data'!E$31 ) / ( '1.Data'!E$30 - '1.Data'!E$31 )</f>
        <v/>
      </c>
      <c r="F5" s="9">
        <f>( '1.Data'!F9 - '1.Data'!F$31 ) / ( '1.Data'!F$30 - '1.Data'!F$31 )</f>
        <v/>
      </c>
      <c r="G5" s="9">
        <f>( '1.Data'!G9 - '1.Data'!G$31 ) / ( '1.Data'!G$30 - '1.Data'!G$31 )</f>
        <v/>
      </c>
      <c r="H5" s="9">
        <f>( '1.Data'!H9 - '1.Data'!H$31 ) / ( '1.Data'!H$30 - '1.Data'!H$31 )</f>
        <v/>
      </c>
      <c r="I5" s="9">
        <f>( '1.Data'!I9 - '1.Data'!I$31 ) / ( '1.Data'!I$30 - '1.Data'!I$31 )</f>
        <v/>
      </c>
      <c r="J5" s="9">
        <f>( '1.Data'!J9 - '1.Data'!J$31 ) / ( '1.Data'!J$30 - '1.Data'!J$31 )</f>
        <v/>
      </c>
      <c r="K5" s="9">
        <f>( '1.Data'!K9 - '1.Data'!K$31 ) / ( '1.Data'!K$30 - '1.Data'!K$31 )</f>
        <v/>
      </c>
      <c r="L5" s="9">
        <f>( '1.Data'!L9 - '1.Data'!L$31 ) / ( '1.Data'!L$30 - '1.Data'!L$31 )</f>
        <v/>
      </c>
      <c r="M5" s="9">
        <f>( '1.Data'!M$30 - '1.Data'!M9 ) / ( '1.Data'!M$30 - '1.Data'!M$31 )</f>
        <v/>
      </c>
    </row>
    <row r="6" ht="22" customHeight="1">
      <c r="A6" s="2" t="inlineStr">
        <is>
          <t>A02</t>
        </is>
      </c>
      <c r="B6" s="9">
        <f>( '1.Data'!B$30 - '1.Data'!B10 ) / ( '1.Data'!B$30 - '1.Data'!B$31 )</f>
        <v/>
      </c>
      <c r="C6" s="9">
        <f>( '1.Data'!C$30 - '1.Data'!C10 ) / ( '1.Data'!C$30 - '1.Data'!C$31 )</f>
        <v/>
      </c>
      <c r="D6" s="9">
        <f>( '1.Data'!D10 - '1.Data'!D$31 ) / ( '1.Data'!D$30 - '1.Data'!D$31 )</f>
        <v/>
      </c>
      <c r="E6" s="9">
        <f>( '1.Data'!E10 - '1.Data'!E$31 ) / ( '1.Data'!E$30 - '1.Data'!E$31 )</f>
        <v/>
      </c>
      <c r="F6" s="9">
        <f>( '1.Data'!F10 - '1.Data'!F$31 ) / ( '1.Data'!F$30 - '1.Data'!F$31 )</f>
        <v/>
      </c>
      <c r="G6" s="9">
        <f>( '1.Data'!G10 - '1.Data'!G$31 ) / ( '1.Data'!G$30 - '1.Data'!G$31 )</f>
        <v/>
      </c>
      <c r="H6" s="9">
        <f>( '1.Data'!H10 - '1.Data'!H$31 ) / ( '1.Data'!H$30 - '1.Data'!H$31 )</f>
        <v/>
      </c>
      <c r="I6" s="9">
        <f>( '1.Data'!I10 - '1.Data'!I$31 ) / ( '1.Data'!I$30 - '1.Data'!I$31 )</f>
        <v/>
      </c>
      <c r="J6" s="9">
        <f>( '1.Data'!J10 - '1.Data'!J$31 ) / ( '1.Data'!J$30 - '1.Data'!J$31 )</f>
        <v/>
      </c>
      <c r="K6" s="9">
        <f>( '1.Data'!K10 - '1.Data'!K$31 ) / ( '1.Data'!K$30 - '1.Data'!K$31 )</f>
        <v/>
      </c>
      <c r="L6" s="9">
        <f>( '1.Data'!L10 - '1.Data'!L$31 ) / ( '1.Data'!L$30 - '1.Data'!L$31 )</f>
        <v/>
      </c>
      <c r="M6" s="9">
        <f>( '1.Data'!M$30 - '1.Data'!M10 ) / ( '1.Data'!M$30 - '1.Data'!M$31 )</f>
        <v/>
      </c>
    </row>
    <row r="7" ht="22" customHeight="1">
      <c r="A7" s="2" t="inlineStr">
        <is>
          <t>A03</t>
        </is>
      </c>
      <c r="B7" s="9">
        <f>( '1.Data'!B$30 - '1.Data'!B11 ) / ( '1.Data'!B$30 - '1.Data'!B$31 )</f>
        <v/>
      </c>
      <c r="C7" s="9">
        <f>( '1.Data'!C$30 - '1.Data'!C11 ) / ( '1.Data'!C$30 - '1.Data'!C$31 )</f>
        <v/>
      </c>
      <c r="D7" s="9">
        <f>( '1.Data'!D11 - '1.Data'!D$31 ) / ( '1.Data'!D$30 - '1.Data'!D$31 )</f>
        <v/>
      </c>
      <c r="E7" s="9">
        <f>( '1.Data'!E11 - '1.Data'!E$31 ) / ( '1.Data'!E$30 - '1.Data'!E$31 )</f>
        <v/>
      </c>
      <c r="F7" s="9">
        <f>( '1.Data'!F11 - '1.Data'!F$31 ) / ( '1.Data'!F$30 - '1.Data'!F$31 )</f>
        <v/>
      </c>
      <c r="G7" s="9">
        <f>( '1.Data'!G11 - '1.Data'!G$31 ) / ( '1.Data'!G$30 - '1.Data'!G$31 )</f>
        <v/>
      </c>
      <c r="H7" s="9">
        <f>( '1.Data'!H11 - '1.Data'!H$31 ) / ( '1.Data'!H$30 - '1.Data'!H$31 )</f>
        <v/>
      </c>
      <c r="I7" s="9">
        <f>( '1.Data'!I11 - '1.Data'!I$31 ) / ( '1.Data'!I$30 - '1.Data'!I$31 )</f>
        <v/>
      </c>
      <c r="J7" s="9">
        <f>( '1.Data'!J11 - '1.Data'!J$31 ) / ( '1.Data'!J$30 - '1.Data'!J$31 )</f>
        <v/>
      </c>
      <c r="K7" s="9">
        <f>( '1.Data'!K11 - '1.Data'!K$31 ) / ( '1.Data'!K$30 - '1.Data'!K$31 )</f>
        <v/>
      </c>
      <c r="L7" s="9">
        <f>( '1.Data'!L11 - '1.Data'!L$31 ) / ( '1.Data'!L$30 - '1.Data'!L$31 )</f>
        <v/>
      </c>
      <c r="M7" s="9">
        <f>( '1.Data'!M$30 - '1.Data'!M11 ) / ( '1.Data'!M$30 - '1.Data'!M$31 )</f>
        <v/>
      </c>
    </row>
    <row r="8" ht="22" customHeight="1">
      <c r="A8" s="2" t="inlineStr">
        <is>
          <t>A04</t>
        </is>
      </c>
      <c r="B8" s="9">
        <f>( '1.Data'!B$30 - '1.Data'!B12 ) / ( '1.Data'!B$30 - '1.Data'!B$31 )</f>
        <v/>
      </c>
      <c r="C8" s="9">
        <f>( '1.Data'!C$30 - '1.Data'!C12 ) / ( '1.Data'!C$30 - '1.Data'!C$31 )</f>
        <v/>
      </c>
      <c r="D8" s="9">
        <f>( '1.Data'!D12 - '1.Data'!D$31 ) / ( '1.Data'!D$30 - '1.Data'!D$31 )</f>
        <v/>
      </c>
      <c r="E8" s="9">
        <f>( '1.Data'!E12 - '1.Data'!E$31 ) / ( '1.Data'!E$30 - '1.Data'!E$31 )</f>
        <v/>
      </c>
      <c r="F8" s="9">
        <f>( '1.Data'!F12 - '1.Data'!F$31 ) / ( '1.Data'!F$30 - '1.Data'!F$31 )</f>
        <v/>
      </c>
      <c r="G8" s="9">
        <f>( '1.Data'!G12 - '1.Data'!G$31 ) / ( '1.Data'!G$30 - '1.Data'!G$31 )</f>
        <v/>
      </c>
      <c r="H8" s="9">
        <f>( '1.Data'!H12 - '1.Data'!H$31 ) / ( '1.Data'!H$30 - '1.Data'!H$31 )</f>
        <v/>
      </c>
      <c r="I8" s="9">
        <f>( '1.Data'!I12 - '1.Data'!I$31 ) / ( '1.Data'!I$30 - '1.Data'!I$31 )</f>
        <v/>
      </c>
      <c r="J8" s="9">
        <f>( '1.Data'!J12 - '1.Data'!J$31 ) / ( '1.Data'!J$30 - '1.Data'!J$31 )</f>
        <v/>
      </c>
      <c r="K8" s="9">
        <f>( '1.Data'!K12 - '1.Data'!K$31 ) / ( '1.Data'!K$30 - '1.Data'!K$31 )</f>
        <v/>
      </c>
      <c r="L8" s="9">
        <f>( '1.Data'!L12 - '1.Data'!L$31 ) / ( '1.Data'!L$30 - '1.Data'!L$31 )</f>
        <v/>
      </c>
      <c r="M8" s="9">
        <f>( '1.Data'!M$30 - '1.Data'!M12 ) / ( '1.Data'!M$30 - '1.Data'!M$31 )</f>
        <v/>
      </c>
    </row>
    <row r="9" ht="22" customHeight="1">
      <c r="A9" s="2" t="inlineStr">
        <is>
          <t>A05</t>
        </is>
      </c>
      <c r="B9" s="9">
        <f>( '1.Data'!B$30 - '1.Data'!B13 ) / ( '1.Data'!B$30 - '1.Data'!B$31 )</f>
        <v/>
      </c>
      <c r="C9" s="9">
        <f>( '1.Data'!C$30 - '1.Data'!C13 ) / ( '1.Data'!C$30 - '1.Data'!C$31 )</f>
        <v/>
      </c>
      <c r="D9" s="9">
        <f>( '1.Data'!D13 - '1.Data'!D$31 ) / ( '1.Data'!D$30 - '1.Data'!D$31 )</f>
        <v/>
      </c>
      <c r="E9" s="9">
        <f>( '1.Data'!E13 - '1.Data'!E$31 ) / ( '1.Data'!E$30 - '1.Data'!E$31 )</f>
        <v/>
      </c>
      <c r="F9" s="9">
        <f>( '1.Data'!F13 - '1.Data'!F$31 ) / ( '1.Data'!F$30 - '1.Data'!F$31 )</f>
        <v/>
      </c>
      <c r="G9" s="9">
        <f>( '1.Data'!G13 - '1.Data'!G$31 ) / ( '1.Data'!G$30 - '1.Data'!G$31 )</f>
        <v/>
      </c>
      <c r="H9" s="9">
        <f>( '1.Data'!H13 - '1.Data'!H$31 ) / ( '1.Data'!H$30 - '1.Data'!H$31 )</f>
        <v/>
      </c>
      <c r="I9" s="9">
        <f>( '1.Data'!I13 - '1.Data'!I$31 ) / ( '1.Data'!I$30 - '1.Data'!I$31 )</f>
        <v/>
      </c>
      <c r="J9" s="9">
        <f>( '1.Data'!J13 - '1.Data'!J$31 ) / ( '1.Data'!J$30 - '1.Data'!J$31 )</f>
        <v/>
      </c>
      <c r="K9" s="9">
        <f>( '1.Data'!K13 - '1.Data'!K$31 ) / ( '1.Data'!K$30 - '1.Data'!K$31 )</f>
        <v/>
      </c>
      <c r="L9" s="9">
        <f>( '1.Data'!L13 - '1.Data'!L$31 ) / ( '1.Data'!L$30 - '1.Data'!L$31 )</f>
        <v/>
      </c>
      <c r="M9" s="9">
        <f>( '1.Data'!M$30 - '1.Data'!M13 ) / ( '1.Data'!M$30 - '1.Data'!M$31 )</f>
        <v/>
      </c>
    </row>
    <row r="10" ht="22" customHeight="1">
      <c r="A10" s="2" t="inlineStr">
        <is>
          <t>A06</t>
        </is>
      </c>
      <c r="B10" s="9">
        <f>( '1.Data'!B$30 - '1.Data'!B14 ) / ( '1.Data'!B$30 - '1.Data'!B$31 )</f>
        <v/>
      </c>
      <c r="C10" s="9">
        <f>( '1.Data'!C$30 - '1.Data'!C14 ) / ( '1.Data'!C$30 - '1.Data'!C$31 )</f>
        <v/>
      </c>
      <c r="D10" s="9">
        <f>( '1.Data'!D14 - '1.Data'!D$31 ) / ( '1.Data'!D$30 - '1.Data'!D$31 )</f>
        <v/>
      </c>
      <c r="E10" s="9">
        <f>( '1.Data'!E14 - '1.Data'!E$31 ) / ( '1.Data'!E$30 - '1.Data'!E$31 )</f>
        <v/>
      </c>
      <c r="F10" s="9">
        <f>( '1.Data'!F14 - '1.Data'!F$31 ) / ( '1.Data'!F$30 - '1.Data'!F$31 )</f>
        <v/>
      </c>
      <c r="G10" s="9">
        <f>( '1.Data'!G14 - '1.Data'!G$31 ) / ( '1.Data'!G$30 - '1.Data'!G$31 )</f>
        <v/>
      </c>
      <c r="H10" s="9">
        <f>( '1.Data'!H14 - '1.Data'!H$31 ) / ( '1.Data'!H$30 - '1.Data'!H$31 )</f>
        <v/>
      </c>
      <c r="I10" s="9">
        <f>( '1.Data'!I14 - '1.Data'!I$31 ) / ( '1.Data'!I$30 - '1.Data'!I$31 )</f>
        <v/>
      </c>
      <c r="J10" s="9">
        <f>( '1.Data'!J14 - '1.Data'!J$31 ) / ( '1.Data'!J$30 - '1.Data'!J$31 )</f>
        <v/>
      </c>
      <c r="K10" s="9">
        <f>( '1.Data'!K14 - '1.Data'!K$31 ) / ( '1.Data'!K$30 - '1.Data'!K$31 )</f>
        <v/>
      </c>
      <c r="L10" s="9">
        <f>( '1.Data'!L14 - '1.Data'!L$31 ) / ( '1.Data'!L$30 - '1.Data'!L$31 )</f>
        <v/>
      </c>
      <c r="M10" s="9">
        <f>( '1.Data'!M$30 - '1.Data'!M14 ) / ( '1.Data'!M$30 - '1.Data'!M$31 )</f>
        <v/>
      </c>
    </row>
    <row r="11" ht="22" customHeight="1">
      <c r="A11" s="2" t="inlineStr">
        <is>
          <t>A07</t>
        </is>
      </c>
      <c r="B11" s="9">
        <f>( '1.Data'!B$30 - '1.Data'!B15 ) / ( '1.Data'!B$30 - '1.Data'!B$31 )</f>
        <v/>
      </c>
      <c r="C11" s="9">
        <f>( '1.Data'!C$30 - '1.Data'!C15 ) / ( '1.Data'!C$30 - '1.Data'!C$31 )</f>
        <v/>
      </c>
      <c r="D11" s="9">
        <f>( '1.Data'!D15 - '1.Data'!D$31 ) / ( '1.Data'!D$30 - '1.Data'!D$31 )</f>
        <v/>
      </c>
      <c r="E11" s="9">
        <f>( '1.Data'!E15 - '1.Data'!E$31 ) / ( '1.Data'!E$30 - '1.Data'!E$31 )</f>
        <v/>
      </c>
      <c r="F11" s="9">
        <f>( '1.Data'!F15 - '1.Data'!F$31 ) / ( '1.Data'!F$30 - '1.Data'!F$31 )</f>
        <v/>
      </c>
      <c r="G11" s="9">
        <f>( '1.Data'!G15 - '1.Data'!G$31 ) / ( '1.Data'!G$30 - '1.Data'!G$31 )</f>
        <v/>
      </c>
      <c r="H11" s="9">
        <f>( '1.Data'!H15 - '1.Data'!H$31 ) / ( '1.Data'!H$30 - '1.Data'!H$31 )</f>
        <v/>
      </c>
      <c r="I11" s="9">
        <f>( '1.Data'!I15 - '1.Data'!I$31 ) / ( '1.Data'!I$30 - '1.Data'!I$31 )</f>
        <v/>
      </c>
      <c r="J11" s="9">
        <f>( '1.Data'!J15 - '1.Data'!J$31 ) / ( '1.Data'!J$30 - '1.Data'!J$31 )</f>
        <v/>
      </c>
      <c r="K11" s="9">
        <f>( '1.Data'!K15 - '1.Data'!K$31 ) / ( '1.Data'!K$30 - '1.Data'!K$31 )</f>
        <v/>
      </c>
      <c r="L11" s="9">
        <f>( '1.Data'!L15 - '1.Data'!L$31 ) / ( '1.Data'!L$30 - '1.Data'!L$31 )</f>
        <v/>
      </c>
      <c r="M11" s="9">
        <f>( '1.Data'!M$30 - '1.Data'!M15 ) / ( '1.Data'!M$30 - '1.Data'!M$31 )</f>
        <v/>
      </c>
    </row>
    <row r="12" ht="22" customHeight="1">
      <c r="A12" s="2" t="inlineStr">
        <is>
          <t>A08</t>
        </is>
      </c>
      <c r="B12" s="9">
        <f>( '1.Data'!B$30 - '1.Data'!B16 ) / ( '1.Data'!B$30 - '1.Data'!B$31 )</f>
        <v/>
      </c>
      <c r="C12" s="9">
        <f>( '1.Data'!C$30 - '1.Data'!C16 ) / ( '1.Data'!C$30 - '1.Data'!C$31 )</f>
        <v/>
      </c>
      <c r="D12" s="9">
        <f>( '1.Data'!D16 - '1.Data'!D$31 ) / ( '1.Data'!D$30 - '1.Data'!D$31 )</f>
        <v/>
      </c>
      <c r="E12" s="9">
        <f>( '1.Data'!E16 - '1.Data'!E$31 ) / ( '1.Data'!E$30 - '1.Data'!E$31 )</f>
        <v/>
      </c>
      <c r="F12" s="9">
        <f>( '1.Data'!F16 - '1.Data'!F$31 ) / ( '1.Data'!F$30 - '1.Data'!F$31 )</f>
        <v/>
      </c>
      <c r="G12" s="9">
        <f>( '1.Data'!G16 - '1.Data'!G$31 ) / ( '1.Data'!G$30 - '1.Data'!G$31 )</f>
        <v/>
      </c>
      <c r="H12" s="9">
        <f>( '1.Data'!H16 - '1.Data'!H$31 ) / ( '1.Data'!H$30 - '1.Data'!H$31 )</f>
        <v/>
      </c>
      <c r="I12" s="9">
        <f>( '1.Data'!I16 - '1.Data'!I$31 ) / ( '1.Data'!I$30 - '1.Data'!I$31 )</f>
        <v/>
      </c>
      <c r="J12" s="9">
        <f>( '1.Data'!J16 - '1.Data'!J$31 ) / ( '1.Data'!J$30 - '1.Data'!J$31 )</f>
        <v/>
      </c>
      <c r="K12" s="9">
        <f>( '1.Data'!K16 - '1.Data'!K$31 ) / ( '1.Data'!K$30 - '1.Data'!K$31 )</f>
        <v/>
      </c>
      <c r="L12" s="9">
        <f>( '1.Data'!L16 - '1.Data'!L$31 ) / ( '1.Data'!L$30 - '1.Data'!L$31 )</f>
        <v/>
      </c>
      <c r="M12" s="9">
        <f>( '1.Data'!M$30 - '1.Data'!M16 ) / ( '1.Data'!M$30 - '1.Data'!M$31 )</f>
        <v/>
      </c>
    </row>
    <row r="13" ht="22" customHeight="1">
      <c r="A13" s="2" t="inlineStr">
        <is>
          <t>A09</t>
        </is>
      </c>
      <c r="B13" s="9">
        <f>( '1.Data'!B$30 - '1.Data'!B17 ) / ( '1.Data'!B$30 - '1.Data'!B$31 )</f>
        <v/>
      </c>
      <c r="C13" s="9">
        <f>( '1.Data'!C$30 - '1.Data'!C17 ) / ( '1.Data'!C$30 - '1.Data'!C$31 )</f>
        <v/>
      </c>
      <c r="D13" s="9">
        <f>( '1.Data'!D17 - '1.Data'!D$31 ) / ( '1.Data'!D$30 - '1.Data'!D$31 )</f>
        <v/>
      </c>
      <c r="E13" s="9">
        <f>( '1.Data'!E17 - '1.Data'!E$31 ) / ( '1.Data'!E$30 - '1.Data'!E$31 )</f>
        <v/>
      </c>
      <c r="F13" s="9">
        <f>( '1.Data'!F17 - '1.Data'!F$31 ) / ( '1.Data'!F$30 - '1.Data'!F$31 )</f>
        <v/>
      </c>
      <c r="G13" s="9">
        <f>( '1.Data'!G17 - '1.Data'!G$31 ) / ( '1.Data'!G$30 - '1.Data'!G$31 )</f>
        <v/>
      </c>
      <c r="H13" s="9">
        <f>( '1.Data'!H17 - '1.Data'!H$31 ) / ( '1.Data'!H$30 - '1.Data'!H$31 )</f>
        <v/>
      </c>
      <c r="I13" s="9">
        <f>( '1.Data'!I17 - '1.Data'!I$31 ) / ( '1.Data'!I$30 - '1.Data'!I$31 )</f>
        <v/>
      </c>
      <c r="J13" s="9">
        <f>( '1.Data'!J17 - '1.Data'!J$31 ) / ( '1.Data'!J$30 - '1.Data'!J$31 )</f>
        <v/>
      </c>
      <c r="K13" s="9">
        <f>( '1.Data'!K17 - '1.Data'!K$31 ) / ( '1.Data'!K$30 - '1.Data'!K$31 )</f>
        <v/>
      </c>
      <c r="L13" s="9">
        <f>( '1.Data'!L17 - '1.Data'!L$31 ) / ( '1.Data'!L$30 - '1.Data'!L$31 )</f>
        <v/>
      </c>
      <c r="M13" s="9">
        <f>( '1.Data'!M$30 - '1.Data'!M17 ) / ( '1.Data'!M$30 - '1.Data'!M$31 )</f>
        <v/>
      </c>
    </row>
    <row r="14" ht="22" customHeight="1">
      <c r="A14" s="2" t="inlineStr">
        <is>
          <t>A10</t>
        </is>
      </c>
      <c r="B14" s="9">
        <f>( '1.Data'!B$30 - '1.Data'!B18 ) / ( '1.Data'!B$30 - '1.Data'!B$31 )</f>
        <v/>
      </c>
      <c r="C14" s="9">
        <f>( '1.Data'!C$30 - '1.Data'!C18 ) / ( '1.Data'!C$30 - '1.Data'!C$31 )</f>
        <v/>
      </c>
      <c r="D14" s="9">
        <f>( '1.Data'!D18 - '1.Data'!D$31 ) / ( '1.Data'!D$30 - '1.Data'!D$31 )</f>
        <v/>
      </c>
      <c r="E14" s="9">
        <f>( '1.Data'!E18 - '1.Data'!E$31 ) / ( '1.Data'!E$30 - '1.Data'!E$31 )</f>
        <v/>
      </c>
      <c r="F14" s="9">
        <f>( '1.Data'!F18 - '1.Data'!F$31 ) / ( '1.Data'!F$30 - '1.Data'!F$31 )</f>
        <v/>
      </c>
      <c r="G14" s="9">
        <f>( '1.Data'!G18 - '1.Data'!G$31 ) / ( '1.Data'!G$30 - '1.Data'!G$31 )</f>
        <v/>
      </c>
      <c r="H14" s="9">
        <f>( '1.Data'!H18 - '1.Data'!H$31 ) / ( '1.Data'!H$30 - '1.Data'!H$31 )</f>
        <v/>
      </c>
      <c r="I14" s="9">
        <f>( '1.Data'!I18 - '1.Data'!I$31 ) / ( '1.Data'!I$30 - '1.Data'!I$31 )</f>
        <v/>
      </c>
      <c r="J14" s="9">
        <f>( '1.Data'!J18 - '1.Data'!J$31 ) / ( '1.Data'!J$30 - '1.Data'!J$31 )</f>
        <v/>
      </c>
      <c r="K14" s="9">
        <f>( '1.Data'!K18 - '1.Data'!K$31 ) / ( '1.Data'!K$30 - '1.Data'!K$31 )</f>
        <v/>
      </c>
      <c r="L14" s="9">
        <f>( '1.Data'!L18 - '1.Data'!L$31 ) / ( '1.Data'!L$30 - '1.Data'!L$31 )</f>
        <v/>
      </c>
      <c r="M14" s="9">
        <f>( '1.Data'!M$30 - '1.Data'!M18 ) / ( '1.Data'!M$30 - '1.Data'!M$31 )</f>
        <v/>
      </c>
    </row>
    <row r="15" ht="22" customHeight="1">
      <c r="A15" s="2" t="inlineStr">
        <is>
          <t>A11</t>
        </is>
      </c>
      <c r="B15" s="9">
        <f>( '1.Data'!B$30 - '1.Data'!B19 ) / ( '1.Data'!B$30 - '1.Data'!B$31 )</f>
        <v/>
      </c>
      <c r="C15" s="9">
        <f>( '1.Data'!C$30 - '1.Data'!C19 ) / ( '1.Data'!C$30 - '1.Data'!C$31 )</f>
        <v/>
      </c>
      <c r="D15" s="9">
        <f>( '1.Data'!D19 - '1.Data'!D$31 ) / ( '1.Data'!D$30 - '1.Data'!D$31 )</f>
        <v/>
      </c>
      <c r="E15" s="9">
        <f>( '1.Data'!E19 - '1.Data'!E$31 ) / ( '1.Data'!E$30 - '1.Data'!E$31 )</f>
        <v/>
      </c>
      <c r="F15" s="9">
        <f>( '1.Data'!F19 - '1.Data'!F$31 ) / ( '1.Data'!F$30 - '1.Data'!F$31 )</f>
        <v/>
      </c>
      <c r="G15" s="9">
        <f>( '1.Data'!G19 - '1.Data'!G$31 ) / ( '1.Data'!G$30 - '1.Data'!G$31 )</f>
        <v/>
      </c>
      <c r="H15" s="9">
        <f>( '1.Data'!H19 - '1.Data'!H$31 ) / ( '1.Data'!H$30 - '1.Data'!H$31 )</f>
        <v/>
      </c>
      <c r="I15" s="9">
        <f>( '1.Data'!I19 - '1.Data'!I$31 ) / ( '1.Data'!I$30 - '1.Data'!I$31 )</f>
        <v/>
      </c>
      <c r="J15" s="9">
        <f>( '1.Data'!J19 - '1.Data'!J$31 ) / ( '1.Data'!J$30 - '1.Data'!J$31 )</f>
        <v/>
      </c>
      <c r="K15" s="9">
        <f>( '1.Data'!K19 - '1.Data'!K$31 ) / ( '1.Data'!K$30 - '1.Data'!K$31 )</f>
        <v/>
      </c>
      <c r="L15" s="9">
        <f>( '1.Data'!L19 - '1.Data'!L$31 ) / ( '1.Data'!L$30 - '1.Data'!L$31 )</f>
        <v/>
      </c>
      <c r="M15" s="9">
        <f>( '1.Data'!M$30 - '1.Data'!M19 ) / ( '1.Data'!M$30 - '1.Data'!M$31 )</f>
        <v/>
      </c>
    </row>
    <row r="16" ht="22" customHeight="1">
      <c r="A16" s="2" t="inlineStr">
        <is>
          <t>A12</t>
        </is>
      </c>
      <c r="B16" s="9">
        <f>( '1.Data'!B$30 - '1.Data'!B20 ) / ( '1.Data'!B$30 - '1.Data'!B$31 )</f>
        <v/>
      </c>
      <c r="C16" s="9">
        <f>( '1.Data'!C$30 - '1.Data'!C20 ) / ( '1.Data'!C$30 - '1.Data'!C$31 )</f>
        <v/>
      </c>
      <c r="D16" s="9">
        <f>( '1.Data'!D20 - '1.Data'!D$31 ) / ( '1.Data'!D$30 - '1.Data'!D$31 )</f>
        <v/>
      </c>
      <c r="E16" s="9">
        <f>( '1.Data'!E20 - '1.Data'!E$31 ) / ( '1.Data'!E$30 - '1.Data'!E$31 )</f>
        <v/>
      </c>
      <c r="F16" s="9">
        <f>( '1.Data'!F20 - '1.Data'!F$31 ) / ( '1.Data'!F$30 - '1.Data'!F$31 )</f>
        <v/>
      </c>
      <c r="G16" s="9">
        <f>( '1.Data'!G20 - '1.Data'!G$31 ) / ( '1.Data'!G$30 - '1.Data'!G$31 )</f>
        <v/>
      </c>
      <c r="H16" s="9">
        <f>( '1.Data'!H20 - '1.Data'!H$31 ) / ( '1.Data'!H$30 - '1.Data'!H$31 )</f>
        <v/>
      </c>
      <c r="I16" s="9">
        <f>( '1.Data'!I20 - '1.Data'!I$31 ) / ( '1.Data'!I$30 - '1.Data'!I$31 )</f>
        <v/>
      </c>
      <c r="J16" s="9">
        <f>( '1.Data'!J20 - '1.Data'!J$31 ) / ( '1.Data'!J$30 - '1.Data'!J$31 )</f>
        <v/>
      </c>
      <c r="K16" s="9">
        <f>( '1.Data'!K20 - '1.Data'!K$31 ) / ( '1.Data'!K$30 - '1.Data'!K$31 )</f>
        <v/>
      </c>
      <c r="L16" s="9">
        <f>( '1.Data'!L20 - '1.Data'!L$31 ) / ( '1.Data'!L$30 - '1.Data'!L$31 )</f>
        <v/>
      </c>
      <c r="M16" s="9">
        <f>( '1.Data'!M$30 - '1.Data'!M20 ) / ( '1.Data'!M$30 - '1.Data'!M$31 )</f>
        <v/>
      </c>
    </row>
    <row r="17" ht="22" customHeight="1">
      <c r="A17" s="2" t="inlineStr">
        <is>
          <t>A13</t>
        </is>
      </c>
      <c r="B17" s="9">
        <f>( '1.Data'!B$30 - '1.Data'!B21 ) / ( '1.Data'!B$30 - '1.Data'!B$31 )</f>
        <v/>
      </c>
      <c r="C17" s="9">
        <f>( '1.Data'!C$30 - '1.Data'!C21 ) / ( '1.Data'!C$30 - '1.Data'!C$31 )</f>
        <v/>
      </c>
      <c r="D17" s="9">
        <f>( '1.Data'!D21 - '1.Data'!D$31 ) / ( '1.Data'!D$30 - '1.Data'!D$31 )</f>
        <v/>
      </c>
      <c r="E17" s="9">
        <f>( '1.Data'!E21 - '1.Data'!E$31 ) / ( '1.Data'!E$30 - '1.Data'!E$31 )</f>
        <v/>
      </c>
      <c r="F17" s="9">
        <f>( '1.Data'!F21 - '1.Data'!F$31 ) / ( '1.Data'!F$30 - '1.Data'!F$31 )</f>
        <v/>
      </c>
      <c r="G17" s="9">
        <f>( '1.Data'!G21 - '1.Data'!G$31 ) / ( '1.Data'!G$30 - '1.Data'!G$31 )</f>
        <v/>
      </c>
      <c r="H17" s="9">
        <f>( '1.Data'!H21 - '1.Data'!H$31 ) / ( '1.Data'!H$30 - '1.Data'!H$31 )</f>
        <v/>
      </c>
      <c r="I17" s="9">
        <f>( '1.Data'!I21 - '1.Data'!I$31 ) / ( '1.Data'!I$30 - '1.Data'!I$31 )</f>
        <v/>
      </c>
      <c r="J17" s="9">
        <f>( '1.Data'!J21 - '1.Data'!J$31 ) / ( '1.Data'!J$30 - '1.Data'!J$31 )</f>
        <v/>
      </c>
      <c r="K17" s="9">
        <f>( '1.Data'!K21 - '1.Data'!K$31 ) / ( '1.Data'!K$30 - '1.Data'!K$31 )</f>
        <v/>
      </c>
      <c r="L17" s="9">
        <f>( '1.Data'!L21 - '1.Data'!L$31 ) / ( '1.Data'!L$30 - '1.Data'!L$31 )</f>
        <v/>
      </c>
      <c r="M17" s="9">
        <f>( '1.Data'!M$30 - '1.Data'!M21 ) / ( '1.Data'!M$30 - '1.Data'!M$31 )</f>
        <v/>
      </c>
    </row>
    <row r="18" ht="22" customHeight="1">
      <c r="A18" s="2" t="inlineStr">
        <is>
          <t>A14</t>
        </is>
      </c>
      <c r="B18" s="9">
        <f>( '1.Data'!B$30 - '1.Data'!B22 ) / ( '1.Data'!B$30 - '1.Data'!B$31 )</f>
        <v/>
      </c>
      <c r="C18" s="9">
        <f>( '1.Data'!C$30 - '1.Data'!C22 ) / ( '1.Data'!C$30 - '1.Data'!C$31 )</f>
        <v/>
      </c>
      <c r="D18" s="9">
        <f>( '1.Data'!D22 - '1.Data'!D$31 ) / ( '1.Data'!D$30 - '1.Data'!D$31 )</f>
        <v/>
      </c>
      <c r="E18" s="9">
        <f>( '1.Data'!E22 - '1.Data'!E$31 ) / ( '1.Data'!E$30 - '1.Data'!E$31 )</f>
        <v/>
      </c>
      <c r="F18" s="9">
        <f>( '1.Data'!F22 - '1.Data'!F$31 ) / ( '1.Data'!F$30 - '1.Data'!F$31 )</f>
        <v/>
      </c>
      <c r="G18" s="9">
        <f>( '1.Data'!G22 - '1.Data'!G$31 ) / ( '1.Data'!G$30 - '1.Data'!G$31 )</f>
        <v/>
      </c>
      <c r="H18" s="9">
        <f>( '1.Data'!H22 - '1.Data'!H$31 ) / ( '1.Data'!H$30 - '1.Data'!H$31 )</f>
        <v/>
      </c>
      <c r="I18" s="9">
        <f>( '1.Data'!I22 - '1.Data'!I$31 ) / ( '1.Data'!I$30 - '1.Data'!I$31 )</f>
        <v/>
      </c>
      <c r="J18" s="9">
        <f>( '1.Data'!J22 - '1.Data'!J$31 ) / ( '1.Data'!J$30 - '1.Data'!J$31 )</f>
        <v/>
      </c>
      <c r="K18" s="9">
        <f>( '1.Data'!K22 - '1.Data'!K$31 ) / ( '1.Data'!K$30 - '1.Data'!K$31 )</f>
        <v/>
      </c>
      <c r="L18" s="9">
        <f>( '1.Data'!L22 - '1.Data'!L$31 ) / ( '1.Data'!L$30 - '1.Data'!L$31 )</f>
        <v/>
      </c>
      <c r="M18" s="9">
        <f>( '1.Data'!M$30 - '1.Data'!M22 ) / ( '1.Data'!M$30 - '1.Data'!M$31 )</f>
        <v/>
      </c>
    </row>
    <row r="19" ht="22" customHeight="1">
      <c r="A19" s="2" t="inlineStr">
        <is>
          <t>A15</t>
        </is>
      </c>
      <c r="B19" s="9">
        <f>( '1.Data'!B$30 - '1.Data'!B23 ) / ( '1.Data'!B$30 - '1.Data'!B$31 )</f>
        <v/>
      </c>
      <c r="C19" s="9">
        <f>( '1.Data'!C$30 - '1.Data'!C23 ) / ( '1.Data'!C$30 - '1.Data'!C$31 )</f>
        <v/>
      </c>
      <c r="D19" s="9">
        <f>( '1.Data'!D23 - '1.Data'!D$31 ) / ( '1.Data'!D$30 - '1.Data'!D$31 )</f>
        <v/>
      </c>
      <c r="E19" s="9">
        <f>( '1.Data'!E23 - '1.Data'!E$31 ) / ( '1.Data'!E$30 - '1.Data'!E$31 )</f>
        <v/>
      </c>
      <c r="F19" s="9">
        <f>( '1.Data'!F23 - '1.Data'!F$31 ) / ( '1.Data'!F$30 - '1.Data'!F$31 )</f>
        <v/>
      </c>
      <c r="G19" s="9">
        <f>( '1.Data'!G23 - '1.Data'!G$31 ) / ( '1.Data'!G$30 - '1.Data'!G$31 )</f>
        <v/>
      </c>
      <c r="H19" s="9">
        <f>( '1.Data'!H23 - '1.Data'!H$31 ) / ( '1.Data'!H$30 - '1.Data'!H$31 )</f>
        <v/>
      </c>
      <c r="I19" s="9">
        <f>( '1.Data'!I23 - '1.Data'!I$31 ) / ( '1.Data'!I$30 - '1.Data'!I$31 )</f>
        <v/>
      </c>
      <c r="J19" s="9">
        <f>( '1.Data'!J23 - '1.Data'!J$31 ) / ( '1.Data'!J$30 - '1.Data'!J$31 )</f>
        <v/>
      </c>
      <c r="K19" s="9">
        <f>( '1.Data'!K23 - '1.Data'!K$31 ) / ( '1.Data'!K$30 - '1.Data'!K$31 )</f>
        <v/>
      </c>
      <c r="L19" s="9">
        <f>( '1.Data'!L23 - '1.Data'!L$31 ) / ( '1.Data'!L$30 - '1.Data'!L$31 )</f>
        <v/>
      </c>
      <c r="M19" s="9">
        <f>( '1.Data'!M$30 - '1.Data'!M23 ) / ( '1.Data'!M$30 - '1.Data'!M$31 )</f>
        <v/>
      </c>
    </row>
    <row r="20" ht="22" customHeight="1">
      <c r="A20" s="2" t="inlineStr">
        <is>
          <t>A16</t>
        </is>
      </c>
      <c r="B20" s="9">
        <f>( '1.Data'!B$30 - '1.Data'!B24 ) / ( '1.Data'!B$30 - '1.Data'!B$31 )</f>
        <v/>
      </c>
      <c r="C20" s="9">
        <f>( '1.Data'!C$30 - '1.Data'!C24 ) / ( '1.Data'!C$30 - '1.Data'!C$31 )</f>
        <v/>
      </c>
      <c r="D20" s="9">
        <f>( '1.Data'!D24 - '1.Data'!D$31 ) / ( '1.Data'!D$30 - '1.Data'!D$31 )</f>
        <v/>
      </c>
      <c r="E20" s="9">
        <f>( '1.Data'!E24 - '1.Data'!E$31 ) / ( '1.Data'!E$30 - '1.Data'!E$31 )</f>
        <v/>
      </c>
      <c r="F20" s="9">
        <f>( '1.Data'!F24 - '1.Data'!F$31 ) / ( '1.Data'!F$30 - '1.Data'!F$31 )</f>
        <v/>
      </c>
      <c r="G20" s="9">
        <f>( '1.Data'!G24 - '1.Data'!G$31 ) / ( '1.Data'!G$30 - '1.Data'!G$31 )</f>
        <v/>
      </c>
      <c r="H20" s="9">
        <f>( '1.Data'!H24 - '1.Data'!H$31 ) / ( '1.Data'!H$30 - '1.Data'!H$31 )</f>
        <v/>
      </c>
      <c r="I20" s="9">
        <f>( '1.Data'!I24 - '1.Data'!I$31 ) / ( '1.Data'!I$30 - '1.Data'!I$31 )</f>
        <v/>
      </c>
      <c r="J20" s="9">
        <f>( '1.Data'!J24 - '1.Data'!J$31 ) / ( '1.Data'!J$30 - '1.Data'!J$31 )</f>
        <v/>
      </c>
      <c r="K20" s="9">
        <f>( '1.Data'!K24 - '1.Data'!K$31 ) / ( '1.Data'!K$30 - '1.Data'!K$31 )</f>
        <v/>
      </c>
      <c r="L20" s="9">
        <f>( '1.Data'!L24 - '1.Data'!L$31 ) / ( '1.Data'!L$30 - '1.Data'!L$31 )</f>
        <v/>
      </c>
      <c r="M20" s="9">
        <f>( '1.Data'!M$30 - '1.Data'!M24 ) / ( '1.Data'!M$30 - '1.Data'!M$31 )</f>
        <v/>
      </c>
    </row>
    <row r="21" ht="22" customHeight="1">
      <c r="A21" s="2" t="inlineStr">
        <is>
          <t>A17</t>
        </is>
      </c>
      <c r="B21" s="9">
        <f>( '1.Data'!B$30 - '1.Data'!B25 ) / ( '1.Data'!B$30 - '1.Data'!B$31 )</f>
        <v/>
      </c>
      <c r="C21" s="9">
        <f>( '1.Data'!C$30 - '1.Data'!C25 ) / ( '1.Data'!C$30 - '1.Data'!C$31 )</f>
        <v/>
      </c>
      <c r="D21" s="9">
        <f>( '1.Data'!D25 - '1.Data'!D$31 ) / ( '1.Data'!D$30 - '1.Data'!D$31 )</f>
        <v/>
      </c>
      <c r="E21" s="9">
        <f>( '1.Data'!E25 - '1.Data'!E$31 ) / ( '1.Data'!E$30 - '1.Data'!E$31 )</f>
        <v/>
      </c>
      <c r="F21" s="9">
        <f>( '1.Data'!F25 - '1.Data'!F$31 ) / ( '1.Data'!F$30 - '1.Data'!F$31 )</f>
        <v/>
      </c>
      <c r="G21" s="9">
        <f>( '1.Data'!G25 - '1.Data'!G$31 ) / ( '1.Data'!G$30 - '1.Data'!G$31 )</f>
        <v/>
      </c>
      <c r="H21" s="9">
        <f>( '1.Data'!H25 - '1.Data'!H$31 ) / ( '1.Data'!H$30 - '1.Data'!H$31 )</f>
        <v/>
      </c>
      <c r="I21" s="9">
        <f>( '1.Data'!I25 - '1.Data'!I$31 ) / ( '1.Data'!I$30 - '1.Data'!I$31 )</f>
        <v/>
      </c>
      <c r="J21" s="9">
        <f>( '1.Data'!J25 - '1.Data'!J$31 ) / ( '1.Data'!J$30 - '1.Data'!J$31 )</f>
        <v/>
      </c>
      <c r="K21" s="9">
        <f>( '1.Data'!K25 - '1.Data'!K$31 ) / ( '1.Data'!K$30 - '1.Data'!K$31 )</f>
        <v/>
      </c>
      <c r="L21" s="9">
        <f>( '1.Data'!L25 - '1.Data'!L$31 ) / ( '1.Data'!L$30 - '1.Data'!L$31 )</f>
        <v/>
      </c>
      <c r="M21" s="9">
        <f>( '1.Data'!M$30 - '1.Data'!M25 ) / ( '1.Data'!M$30 - '1.Data'!M$31 )</f>
        <v/>
      </c>
    </row>
    <row r="22" ht="22" customHeight="1">
      <c r="A22" s="2" t="inlineStr">
        <is>
          <t>A18</t>
        </is>
      </c>
      <c r="B22" s="9">
        <f>( '1.Data'!B$30 - '1.Data'!B26 ) / ( '1.Data'!B$30 - '1.Data'!B$31 )</f>
        <v/>
      </c>
      <c r="C22" s="9">
        <f>( '1.Data'!C$30 - '1.Data'!C26 ) / ( '1.Data'!C$30 - '1.Data'!C$31 )</f>
        <v/>
      </c>
      <c r="D22" s="9">
        <f>( '1.Data'!D26 - '1.Data'!D$31 ) / ( '1.Data'!D$30 - '1.Data'!D$31 )</f>
        <v/>
      </c>
      <c r="E22" s="9">
        <f>( '1.Data'!E26 - '1.Data'!E$31 ) / ( '1.Data'!E$30 - '1.Data'!E$31 )</f>
        <v/>
      </c>
      <c r="F22" s="9">
        <f>( '1.Data'!F26 - '1.Data'!F$31 ) / ( '1.Data'!F$30 - '1.Data'!F$31 )</f>
        <v/>
      </c>
      <c r="G22" s="9">
        <f>( '1.Data'!G26 - '1.Data'!G$31 ) / ( '1.Data'!G$30 - '1.Data'!G$31 )</f>
        <v/>
      </c>
      <c r="H22" s="9">
        <f>( '1.Data'!H26 - '1.Data'!H$31 ) / ( '1.Data'!H$30 - '1.Data'!H$31 )</f>
        <v/>
      </c>
      <c r="I22" s="9">
        <f>( '1.Data'!I26 - '1.Data'!I$31 ) / ( '1.Data'!I$30 - '1.Data'!I$31 )</f>
        <v/>
      </c>
      <c r="J22" s="9">
        <f>( '1.Data'!J26 - '1.Data'!J$31 ) / ( '1.Data'!J$30 - '1.Data'!J$31 )</f>
        <v/>
      </c>
      <c r="K22" s="9">
        <f>( '1.Data'!K26 - '1.Data'!K$31 ) / ( '1.Data'!K$30 - '1.Data'!K$31 )</f>
        <v/>
      </c>
      <c r="L22" s="9">
        <f>( '1.Data'!L26 - '1.Data'!L$31 ) / ( '1.Data'!L$30 - '1.Data'!L$31 )</f>
        <v/>
      </c>
      <c r="M22" s="9">
        <f>( '1.Data'!M$30 - '1.Data'!M26 ) / ( '1.Data'!M$30 - '1.Data'!M$31 )</f>
        <v/>
      </c>
    </row>
    <row r="23" ht="22" customHeight="1">
      <c r="A23" s="2" t="inlineStr">
        <is>
          <t>A19</t>
        </is>
      </c>
      <c r="B23" s="9">
        <f>( '1.Data'!B$30 - '1.Data'!B27 ) / ( '1.Data'!B$30 - '1.Data'!B$31 )</f>
        <v/>
      </c>
      <c r="C23" s="9">
        <f>( '1.Data'!C$30 - '1.Data'!C27 ) / ( '1.Data'!C$30 - '1.Data'!C$31 )</f>
        <v/>
      </c>
      <c r="D23" s="9">
        <f>( '1.Data'!D27 - '1.Data'!D$31 ) / ( '1.Data'!D$30 - '1.Data'!D$31 )</f>
        <v/>
      </c>
      <c r="E23" s="9">
        <f>( '1.Data'!E27 - '1.Data'!E$31 ) / ( '1.Data'!E$30 - '1.Data'!E$31 )</f>
        <v/>
      </c>
      <c r="F23" s="9">
        <f>( '1.Data'!F27 - '1.Data'!F$31 ) / ( '1.Data'!F$30 - '1.Data'!F$31 )</f>
        <v/>
      </c>
      <c r="G23" s="9">
        <f>( '1.Data'!G27 - '1.Data'!G$31 ) / ( '1.Data'!G$30 - '1.Data'!G$31 )</f>
        <v/>
      </c>
      <c r="H23" s="9">
        <f>( '1.Data'!H27 - '1.Data'!H$31 ) / ( '1.Data'!H$30 - '1.Data'!H$31 )</f>
        <v/>
      </c>
      <c r="I23" s="9">
        <f>( '1.Data'!I27 - '1.Data'!I$31 ) / ( '1.Data'!I$30 - '1.Data'!I$31 )</f>
        <v/>
      </c>
      <c r="J23" s="9">
        <f>( '1.Data'!J27 - '1.Data'!J$31 ) / ( '1.Data'!J$30 - '1.Data'!J$31 )</f>
        <v/>
      </c>
      <c r="K23" s="9">
        <f>( '1.Data'!K27 - '1.Data'!K$31 ) / ( '1.Data'!K$30 - '1.Data'!K$31 )</f>
        <v/>
      </c>
      <c r="L23" s="9">
        <f>( '1.Data'!L27 - '1.Data'!L$31 ) / ( '1.Data'!L$30 - '1.Data'!L$31 )</f>
        <v/>
      </c>
      <c r="M23" s="9">
        <f>( '1.Data'!M$30 - '1.Data'!M27 ) / ( '1.Data'!M$30 - '1.Data'!M$31 )</f>
        <v/>
      </c>
    </row>
    <row r="24" ht="22" customHeight="1">
      <c r="A24" s="2" t="inlineStr">
        <is>
          <t>A20</t>
        </is>
      </c>
      <c r="B24" s="9">
        <f>( '1.Data'!B$30 - '1.Data'!B28 ) / ( '1.Data'!B$30 - '1.Data'!B$31 )</f>
        <v/>
      </c>
      <c r="C24" s="9">
        <f>( '1.Data'!C$30 - '1.Data'!C28 ) / ( '1.Data'!C$30 - '1.Data'!C$31 )</f>
        <v/>
      </c>
      <c r="D24" s="9">
        <f>( '1.Data'!D28 - '1.Data'!D$31 ) / ( '1.Data'!D$30 - '1.Data'!D$31 )</f>
        <v/>
      </c>
      <c r="E24" s="9">
        <f>( '1.Data'!E28 - '1.Data'!E$31 ) / ( '1.Data'!E$30 - '1.Data'!E$31 )</f>
        <v/>
      </c>
      <c r="F24" s="9">
        <f>( '1.Data'!F28 - '1.Data'!F$31 ) / ( '1.Data'!F$30 - '1.Data'!F$31 )</f>
        <v/>
      </c>
      <c r="G24" s="9">
        <f>( '1.Data'!G28 - '1.Data'!G$31 ) / ( '1.Data'!G$30 - '1.Data'!G$31 )</f>
        <v/>
      </c>
      <c r="H24" s="9">
        <f>( '1.Data'!H28 - '1.Data'!H$31 ) / ( '1.Data'!H$30 - '1.Data'!H$31 )</f>
        <v/>
      </c>
      <c r="I24" s="9">
        <f>( '1.Data'!I28 - '1.Data'!I$31 ) / ( '1.Data'!I$30 - '1.Data'!I$31 )</f>
        <v/>
      </c>
      <c r="J24" s="9">
        <f>( '1.Data'!J28 - '1.Data'!J$31 ) / ( '1.Data'!J$30 - '1.Data'!J$31 )</f>
        <v/>
      </c>
      <c r="K24" s="9">
        <f>( '1.Data'!K28 - '1.Data'!K$31 ) / ( '1.Data'!K$30 - '1.Data'!K$31 )</f>
        <v/>
      </c>
      <c r="L24" s="9">
        <f>( '1.Data'!L28 - '1.Data'!L$31 ) / ( '1.Data'!L$30 - '1.Data'!L$31 )</f>
        <v/>
      </c>
      <c r="M24" s="9">
        <f>( '1.Data'!M$30 - '1.Data'!M28 ) / ( '1.Data'!M$30 - '1.Data'!M$31 )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PREFERENSI TEORITIS (TPij) — MAIRCA</t>
        </is>
      </c>
    </row>
    <row r="2">
      <c r="A2" s="11" t="inlineStr">
        <is>
          <t>Rumus: TPij = Wj / m  (m = 20)</t>
        </is>
      </c>
    </row>
    <row r="3"/>
    <row r="4">
      <c r="A4" s="1" t="inlineStr">
        <is>
          <t>Alternatif</t>
        </is>
      </c>
      <c r="B4" s="1" t="inlineStr">
        <is>
          <t>K1</t>
        </is>
      </c>
      <c r="C4" s="1" t="inlineStr">
        <is>
          <t>K2</t>
        </is>
      </c>
      <c r="D4" s="1" t="inlineStr">
        <is>
          <t>K3</t>
        </is>
      </c>
      <c r="E4" s="1" t="inlineStr">
        <is>
          <t>K4</t>
        </is>
      </c>
      <c r="F4" s="1" t="inlineStr">
        <is>
          <t>K5</t>
        </is>
      </c>
      <c r="G4" s="1" t="inlineStr">
        <is>
          <t>K6</t>
        </is>
      </c>
      <c r="H4" s="1" t="inlineStr">
        <is>
          <t>K7</t>
        </is>
      </c>
      <c r="I4" s="1" t="inlineStr">
        <is>
          <t>K8</t>
        </is>
      </c>
      <c r="J4" s="1" t="inlineStr">
        <is>
          <t>K9</t>
        </is>
      </c>
      <c r="K4" s="1" t="inlineStr">
        <is>
          <t>K10</t>
        </is>
      </c>
      <c r="L4" s="1" t="inlineStr">
        <is>
          <t>K11</t>
        </is>
      </c>
      <c r="M4" s="1" t="inlineStr">
        <is>
          <t>K12</t>
        </is>
      </c>
    </row>
    <row r="5" ht="22" customHeight="1">
      <c r="A5" s="2" t="inlineStr">
        <is>
          <t>A01</t>
        </is>
      </c>
      <c r="B5" s="9">
        <f>'2.SWARA'!E22 / 20</f>
        <v/>
      </c>
      <c r="C5" s="9">
        <f>'2.SWARA'!E23 / 20</f>
        <v/>
      </c>
      <c r="D5" s="9">
        <f>'2.SWARA'!E24 / 20</f>
        <v/>
      </c>
      <c r="E5" s="9">
        <f>'2.SWARA'!E25 / 20</f>
        <v/>
      </c>
      <c r="F5" s="9">
        <f>'2.SWARA'!E26 / 20</f>
        <v/>
      </c>
      <c r="G5" s="9">
        <f>'2.SWARA'!E27 / 20</f>
        <v/>
      </c>
      <c r="H5" s="9">
        <f>'2.SWARA'!E28 / 20</f>
        <v/>
      </c>
      <c r="I5" s="9">
        <f>'2.SWARA'!E29 / 20</f>
        <v/>
      </c>
      <c r="J5" s="9">
        <f>'2.SWARA'!E30 / 20</f>
        <v/>
      </c>
      <c r="K5" s="9">
        <f>'2.SWARA'!E31 / 20</f>
        <v/>
      </c>
      <c r="L5" s="9">
        <f>'2.SWARA'!E32 / 20</f>
        <v/>
      </c>
      <c r="M5" s="9">
        <f>'2.SWARA'!E33 / 20</f>
        <v/>
      </c>
    </row>
    <row r="6" ht="22" customHeight="1">
      <c r="A6" s="2" t="inlineStr">
        <is>
          <t>A02</t>
        </is>
      </c>
      <c r="B6" s="9">
        <f>'2.SWARA'!E22 / 20</f>
        <v/>
      </c>
      <c r="C6" s="9">
        <f>'2.SWARA'!E23 / 20</f>
        <v/>
      </c>
      <c r="D6" s="9">
        <f>'2.SWARA'!E24 / 20</f>
        <v/>
      </c>
      <c r="E6" s="9">
        <f>'2.SWARA'!E25 / 20</f>
        <v/>
      </c>
      <c r="F6" s="9">
        <f>'2.SWARA'!E26 / 20</f>
        <v/>
      </c>
      <c r="G6" s="9">
        <f>'2.SWARA'!E27 / 20</f>
        <v/>
      </c>
      <c r="H6" s="9">
        <f>'2.SWARA'!E28 / 20</f>
        <v/>
      </c>
      <c r="I6" s="9">
        <f>'2.SWARA'!E29 / 20</f>
        <v/>
      </c>
      <c r="J6" s="9">
        <f>'2.SWARA'!E30 / 20</f>
        <v/>
      </c>
      <c r="K6" s="9">
        <f>'2.SWARA'!E31 / 20</f>
        <v/>
      </c>
      <c r="L6" s="9">
        <f>'2.SWARA'!E32 / 20</f>
        <v/>
      </c>
      <c r="M6" s="9">
        <f>'2.SWARA'!E33 / 20</f>
        <v/>
      </c>
    </row>
    <row r="7" ht="22" customHeight="1">
      <c r="A7" s="2" t="inlineStr">
        <is>
          <t>A03</t>
        </is>
      </c>
      <c r="B7" s="9">
        <f>'2.SWARA'!E22 / 20</f>
        <v/>
      </c>
      <c r="C7" s="9">
        <f>'2.SWARA'!E23 / 20</f>
        <v/>
      </c>
      <c r="D7" s="9">
        <f>'2.SWARA'!E24 / 20</f>
        <v/>
      </c>
      <c r="E7" s="9">
        <f>'2.SWARA'!E25 / 20</f>
        <v/>
      </c>
      <c r="F7" s="9">
        <f>'2.SWARA'!E26 / 20</f>
        <v/>
      </c>
      <c r="G7" s="9">
        <f>'2.SWARA'!E27 / 20</f>
        <v/>
      </c>
      <c r="H7" s="9">
        <f>'2.SWARA'!E28 / 20</f>
        <v/>
      </c>
      <c r="I7" s="9">
        <f>'2.SWARA'!E29 / 20</f>
        <v/>
      </c>
      <c r="J7" s="9">
        <f>'2.SWARA'!E30 / 20</f>
        <v/>
      </c>
      <c r="K7" s="9">
        <f>'2.SWARA'!E31 / 20</f>
        <v/>
      </c>
      <c r="L7" s="9">
        <f>'2.SWARA'!E32 / 20</f>
        <v/>
      </c>
      <c r="M7" s="9">
        <f>'2.SWARA'!E33 / 20</f>
        <v/>
      </c>
    </row>
    <row r="8" ht="22" customHeight="1">
      <c r="A8" s="2" t="inlineStr">
        <is>
          <t>A04</t>
        </is>
      </c>
      <c r="B8" s="9">
        <f>'2.SWARA'!E22 / 20</f>
        <v/>
      </c>
      <c r="C8" s="9">
        <f>'2.SWARA'!E23 / 20</f>
        <v/>
      </c>
      <c r="D8" s="9">
        <f>'2.SWARA'!E24 / 20</f>
        <v/>
      </c>
      <c r="E8" s="9">
        <f>'2.SWARA'!E25 / 20</f>
        <v/>
      </c>
      <c r="F8" s="9">
        <f>'2.SWARA'!E26 / 20</f>
        <v/>
      </c>
      <c r="G8" s="9">
        <f>'2.SWARA'!E27 / 20</f>
        <v/>
      </c>
      <c r="H8" s="9">
        <f>'2.SWARA'!E28 / 20</f>
        <v/>
      </c>
      <c r="I8" s="9">
        <f>'2.SWARA'!E29 / 20</f>
        <v/>
      </c>
      <c r="J8" s="9">
        <f>'2.SWARA'!E30 / 20</f>
        <v/>
      </c>
      <c r="K8" s="9">
        <f>'2.SWARA'!E31 / 20</f>
        <v/>
      </c>
      <c r="L8" s="9">
        <f>'2.SWARA'!E32 / 20</f>
        <v/>
      </c>
      <c r="M8" s="9">
        <f>'2.SWARA'!E33 / 20</f>
        <v/>
      </c>
    </row>
    <row r="9" ht="22" customHeight="1">
      <c r="A9" s="2" t="inlineStr">
        <is>
          <t>A05</t>
        </is>
      </c>
      <c r="B9" s="9">
        <f>'2.SWARA'!E22 / 20</f>
        <v/>
      </c>
      <c r="C9" s="9">
        <f>'2.SWARA'!E23 / 20</f>
        <v/>
      </c>
      <c r="D9" s="9">
        <f>'2.SWARA'!E24 / 20</f>
        <v/>
      </c>
      <c r="E9" s="9">
        <f>'2.SWARA'!E25 / 20</f>
        <v/>
      </c>
      <c r="F9" s="9">
        <f>'2.SWARA'!E26 / 20</f>
        <v/>
      </c>
      <c r="G9" s="9">
        <f>'2.SWARA'!E27 / 20</f>
        <v/>
      </c>
      <c r="H9" s="9">
        <f>'2.SWARA'!E28 / 20</f>
        <v/>
      </c>
      <c r="I9" s="9">
        <f>'2.SWARA'!E29 / 20</f>
        <v/>
      </c>
      <c r="J9" s="9">
        <f>'2.SWARA'!E30 / 20</f>
        <v/>
      </c>
      <c r="K9" s="9">
        <f>'2.SWARA'!E31 / 20</f>
        <v/>
      </c>
      <c r="L9" s="9">
        <f>'2.SWARA'!E32 / 20</f>
        <v/>
      </c>
      <c r="M9" s="9">
        <f>'2.SWARA'!E33 / 20</f>
        <v/>
      </c>
    </row>
    <row r="10" ht="22" customHeight="1">
      <c r="A10" s="2" t="inlineStr">
        <is>
          <t>A06</t>
        </is>
      </c>
      <c r="B10" s="9">
        <f>'2.SWARA'!E22 / 20</f>
        <v/>
      </c>
      <c r="C10" s="9">
        <f>'2.SWARA'!E23 / 20</f>
        <v/>
      </c>
      <c r="D10" s="9">
        <f>'2.SWARA'!E24 / 20</f>
        <v/>
      </c>
      <c r="E10" s="9">
        <f>'2.SWARA'!E25 / 20</f>
        <v/>
      </c>
      <c r="F10" s="9">
        <f>'2.SWARA'!E26 / 20</f>
        <v/>
      </c>
      <c r="G10" s="9">
        <f>'2.SWARA'!E27 / 20</f>
        <v/>
      </c>
      <c r="H10" s="9">
        <f>'2.SWARA'!E28 / 20</f>
        <v/>
      </c>
      <c r="I10" s="9">
        <f>'2.SWARA'!E29 / 20</f>
        <v/>
      </c>
      <c r="J10" s="9">
        <f>'2.SWARA'!E30 / 20</f>
        <v/>
      </c>
      <c r="K10" s="9">
        <f>'2.SWARA'!E31 / 20</f>
        <v/>
      </c>
      <c r="L10" s="9">
        <f>'2.SWARA'!E32 / 20</f>
        <v/>
      </c>
      <c r="M10" s="9">
        <f>'2.SWARA'!E33 / 20</f>
        <v/>
      </c>
    </row>
    <row r="11" ht="22" customHeight="1">
      <c r="A11" s="2" t="inlineStr">
        <is>
          <t>A07</t>
        </is>
      </c>
      <c r="B11" s="9">
        <f>'2.SWARA'!E22 / 20</f>
        <v/>
      </c>
      <c r="C11" s="9">
        <f>'2.SWARA'!E23 / 20</f>
        <v/>
      </c>
      <c r="D11" s="9">
        <f>'2.SWARA'!E24 / 20</f>
        <v/>
      </c>
      <c r="E11" s="9">
        <f>'2.SWARA'!E25 / 20</f>
        <v/>
      </c>
      <c r="F11" s="9">
        <f>'2.SWARA'!E26 / 20</f>
        <v/>
      </c>
      <c r="G11" s="9">
        <f>'2.SWARA'!E27 / 20</f>
        <v/>
      </c>
      <c r="H11" s="9">
        <f>'2.SWARA'!E28 / 20</f>
        <v/>
      </c>
      <c r="I11" s="9">
        <f>'2.SWARA'!E29 / 20</f>
        <v/>
      </c>
      <c r="J11" s="9">
        <f>'2.SWARA'!E30 / 20</f>
        <v/>
      </c>
      <c r="K11" s="9">
        <f>'2.SWARA'!E31 / 20</f>
        <v/>
      </c>
      <c r="L11" s="9">
        <f>'2.SWARA'!E32 / 20</f>
        <v/>
      </c>
      <c r="M11" s="9">
        <f>'2.SWARA'!E33 / 20</f>
        <v/>
      </c>
    </row>
    <row r="12" ht="22" customHeight="1">
      <c r="A12" s="2" t="inlineStr">
        <is>
          <t>A08</t>
        </is>
      </c>
      <c r="B12" s="9">
        <f>'2.SWARA'!E22 / 20</f>
        <v/>
      </c>
      <c r="C12" s="9">
        <f>'2.SWARA'!E23 / 20</f>
        <v/>
      </c>
      <c r="D12" s="9">
        <f>'2.SWARA'!E24 / 20</f>
        <v/>
      </c>
      <c r="E12" s="9">
        <f>'2.SWARA'!E25 / 20</f>
        <v/>
      </c>
      <c r="F12" s="9">
        <f>'2.SWARA'!E26 / 20</f>
        <v/>
      </c>
      <c r="G12" s="9">
        <f>'2.SWARA'!E27 / 20</f>
        <v/>
      </c>
      <c r="H12" s="9">
        <f>'2.SWARA'!E28 / 20</f>
        <v/>
      </c>
      <c r="I12" s="9">
        <f>'2.SWARA'!E29 / 20</f>
        <v/>
      </c>
      <c r="J12" s="9">
        <f>'2.SWARA'!E30 / 20</f>
        <v/>
      </c>
      <c r="K12" s="9">
        <f>'2.SWARA'!E31 / 20</f>
        <v/>
      </c>
      <c r="L12" s="9">
        <f>'2.SWARA'!E32 / 20</f>
        <v/>
      </c>
      <c r="M12" s="9">
        <f>'2.SWARA'!E33 / 20</f>
        <v/>
      </c>
    </row>
    <row r="13" ht="22" customHeight="1">
      <c r="A13" s="2" t="inlineStr">
        <is>
          <t>A09</t>
        </is>
      </c>
      <c r="B13" s="9">
        <f>'2.SWARA'!E22 / 20</f>
        <v/>
      </c>
      <c r="C13" s="9">
        <f>'2.SWARA'!E23 / 20</f>
        <v/>
      </c>
      <c r="D13" s="9">
        <f>'2.SWARA'!E24 / 20</f>
        <v/>
      </c>
      <c r="E13" s="9">
        <f>'2.SWARA'!E25 / 20</f>
        <v/>
      </c>
      <c r="F13" s="9">
        <f>'2.SWARA'!E26 / 20</f>
        <v/>
      </c>
      <c r="G13" s="9">
        <f>'2.SWARA'!E27 / 20</f>
        <v/>
      </c>
      <c r="H13" s="9">
        <f>'2.SWARA'!E28 / 20</f>
        <v/>
      </c>
      <c r="I13" s="9">
        <f>'2.SWARA'!E29 / 20</f>
        <v/>
      </c>
      <c r="J13" s="9">
        <f>'2.SWARA'!E30 / 20</f>
        <v/>
      </c>
      <c r="K13" s="9">
        <f>'2.SWARA'!E31 / 20</f>
        <v/>
      </c>
      <c r="L13" s="9">
        <f>'2.SWARA'!E32 / 20</f>
        <v/>
      </c>
      <c r="M13" s="9">
        <f>'2.SWARA'!E33 / 20</f>
        <v/>
      </c>
    </row>
    <row r="14" ht="22" customHeight="1">
      <c r="A14" s="2" t="inlineStr">
        <is>
          <t>A10</t>
        </is>
      </c>
      <c r="B14" s="9">
        <f>'2.SWARA'!E22 / 20</f>
        <v/>
      </c>
      <c r="C14" s="9">
        <f>'2.SWARA'!E23 / 20</f>
        <v/>
      </c>
      <c r="D14" s="9">
        <f>'2.SWARA'!E24 / 20</f>
        <v/>
      </c>
      <c r="E14" s="9">
        <f>'2.SWARA'!E25 / 20</f>
        <v/>
      </c>
      <c r="F14" s="9">
        <f>'2.SWARA'!E26 / 20</f>
        <v/>
      </c>
      <c r="G14" s="9">
        <f>'2.SWARA'!E27 / 20</f>
        <v/>
      </c>
      <c r="H14" s="9">
        <f>'2.SWARA'!E28 / 20</f>
        <v/>
      </c>
      <c r="I14" s="9">
        <f>'2.SWARA'!E29 / 20</f>
        <v/>
      </c>
      <c r="J14" s="9">
        <f>'2.SWARA'!E30 / 20</f>
        <v/>
      </c>
      <c r="K14" s="9">
        <f>'2.SWARA'!E31 / 20</f>
        <v/>
      </c>
      <c r="L14" s="9">
        <f>'2.SWARA'!E32 / 20</f>
        <v/>
      </c>
      <c r="M14" s="9">
        <f>'2.SWARA'!E33 / 20</f>
        <v/>
      </c>
    </row>
    <row r="15" ht="22" customHeight="1">
      <c r="A15" s="2" t="inlineStr">
        <is>
          <t>A11</t>
        </is>
      </c>
      <c r="B15" s="9">
        <f>'2.SWARA'!E22 / 20</f>
        <v/>
      </c>
      <c r="C15" s="9">
        <f>'2.SWARA'!E23 / 20</f>
        <v/>
      </c>
      <c r="D15" s="9">
        <f>'2.SWARA'!E24 / 20</f>
        <v/>
      </c>
      <c r="E15" s="9">
        <f>'2.SWARA'!E25 / 20</f>
        <v/>
      </c>
      <c r="F15" s="9">
        <f>'2.SWARA'!E26 / 20</f>
        <v/>
      </c>
      <c r="G15" s="9">
        <f>'2.SWARA'!E27 / 20</f>
        <v/>
      </c>
      <c r="H15" s="9">
        <f>'2.SWARA'!E28 / 20</f>
        <v/>
      </c>
      <c r="I15" s="9">
        <f>'2.SWARA'!E29 / 20</f>
        <v/>
      </c>
      <c r="J15" s="9">
        <f>'2.SWARA'!E30 / 20</f>
        <v/>
      </c>
      <c r="K15" s="9">
        <f>'2.SWARA'!E31 / 20</f>
        <v/>
      </c>
      <c r="L15" s="9">
        <f>'2.SWARA'!E32 / 20</f>
        <v/>
      </c>
      <c r="M15" s="9">
        <f>'2.SWARA'!E33 / 20</f>
        <v/>
      </c>
    </row>
    <row r="16" ht="22" customHeight="1">
      <c r="A16" s="2" t="inlineStr">
        <is>
          <t>A12</t>
        </is>
      </c>
      <c r="B16" s="9">
        <f>'2.SWARA'!E22 / 20</f>
        <v/>
      </c>
      <c r="C16" s="9">
        <f>'2.SWARA'!E23 / 20</f>
        <v/>
      </c>
      <c r="D16" s="9">
        <f>'2.SWARA'!E24 / 20</f>
        <v/>
      </c>
      <c r="E16" s="9">
        <f>'2.SWARA'!E25 / 20</f>
        <v/>
      </c>
      <c r="F16" s="9">
        <f>'2.SWARA'!E26 / 20</f>
        <v/>
      </c>
      <c r="G16" s="9">
        <f>'2.SWARA'!E27 / 20</f>
        <v/>
      </c>
      <c r="H16" s="9">
        <f>'2.SWARA'!E28 / 20</f>
        <v/>
      </c>
      <c r="I16" s="9">
        <f>'2.SWARA'!E29 / 20</f>
        <v/>
      </c>
      <c r="J16" s="9">
        <f>'2.SWARA'!E30 / 20</f>
        <v/>
      </c>
      <c r="K16" s="9">
        <f>'2.SWARA'!E31 / 20</f>
        <v/>
      </c>
      <c r="L16" s="9">
        <f>'2.SWARA'!E32 / 20</f>
        <v/>
      </c>
      <c r="M16" s="9">
        <f>'2.SWARA'!E33 / 20</f>
        <v/>
      </c>
    </row>
    <row r="17" ht="22" customHeight="1">
      <c r="A17" s="2" t="inlineStr">
        <is>
          <t>A13</t>
        </is>
      </c>
      <c r="B17" s="9">
        <f>'2.SWARA'!E22 / 20</f>
        <v/>
      </c>
      <c r="C17" s="9">
        <f>'2.SWARA'!E23 / 20</f>
        <v/>
      </c>
      <c r="D17" s="9">
        <f>'2.SWARA'!E24 / 20</f>
        <v/>
      </c>
      <c r="E17" s="9">
        <f>'2.SWARA'!E25 / 20</f>
        <v/>
      </c>
      <c r="F17" s="9">
        <f>'2.SWARA'!E26 / 20</f>
        <v/>
      </c>
      <c r="G17" s="9">
        <f>'2.SWARA'!E27 / 20</f>
        <v/>
      </c>
      <c r="H17" s="9">
        <f>'2.SWARA'!E28 / 20</f>
        <v/>
      </c>
      <c r="I17" s="9">
        <f>'2.SWARA'!E29 / 20</f>
        <v/>
      </c>
      <c r="J17" s="9">
        <f>'2.SWARA'!E30 / 20</f>
        <v/>
      </c>
      <c r="K17" s="9">
        <f>'2.SWARA'!E31 / 20</f>
        <v/>
      </c>
      <c r="L17" s="9">
        <f>'2.SWARA'!E32 / 20</f>
        <v/>
      </c>
      <c r="M17" s="9">
        <f>'2.SWARA'!E33 / 20</f>
        <v/>
      </c>
    </row>
    <row r="18" ht="22" customHeight="1">
      <c r="A18" s="2" t="inlineStr">
        <is>
          <t>A14</t>
        </is>
      </c>
      <c r="B18" s="9">
        <f>'2.SWARA'!E22 / 20</f>
        <v/>
      </c>
      <c r="C18" s="9">
        <f>'2.SWARA'!E23 / 20</f>
        <v/>
      </c>
      <c r="D18" s="9">
        <f>'2.SWARA'!E24 / 20</f>
        <v/>
      </c>
      <c r="E18" s="9">
        <f>'2.SWARA'!E25 / 20</f>
        <v/>
      </c>
      <c r="F18" s="9">
        <f>'2.SWARA'!E26 / 20</f>
        <v/>
      </c>
      <c r="G18" s="9">
        <f>'2.SWARA'!E27 / 20</f>
        <v/>
      </c>
      <c r="H18" s="9">
        <f>'2.SWARA'!E28 / 20</f>
        <v/>
      </c>
      <c r="I18" s="9">
        <f>'2.SWARA'!E29 / 20</f>
        <v/>
      </c>
      <c r="J18" s="9">
        <f>'2.SWARA'!E30 / 20</f>
        <v/>
      </c>
      <c r="K18" s="9">
        <f>'2.SWARA'!E31 / 20</f>
        <v/>
      </c>
      <c r="L18" s="9">
        <f>'2.SWARA'!E32 / 20</f>
        <v/>
      </c>
      <c r="M18" s="9">
        <f>'2.SWARA'!E33 / 20</f>
        <v/>
      </c>
    </row>
    <row r="19" ht="22" customHeight="1">
      <c r="A19" s="2" t="inlineStr">
        <is>
          <t>A15</t>
        </is>
      </c>
      <c r="B19" s="9">
        <f>'2.SWARA'!E22 / 20</f>
        <v/>
      </c>
      <c r="C19" s="9">
        <f>'2.SWARA'!E23 / 20</f>
        <v/>
      </c>
      <c r="D19" s="9">
        <f>'2.SWARA'!E24 / 20</f>
        <v/>
      </c>
      <c r="E19" s="9">
        <f>'2.SWARA'!E25 / 20</f>
        <v/>
      </c>
      <c r="F19" s="9">
        <f>'2.SWARA'!E26 / 20</f>
        <v/>
      </c>
      <c r="G19" s="9">
        <f>'2.SWARA'!E27 / 20</f>
        <v/>
      </c>
      <c r="H19" s="9">
        <f>'2.SWARA'!E28 / 20</f>
        <v/>
      </c>
      <c r="I19" s="9">
        <f>'2.SWARA'!E29 / 20</f>
        <v/>
      </c>
      <c r="J19" s="9">
        <f>'2.SWARA'!E30 / 20</f>
        <v/>
      </c>
      <c r="K19" s="9">
        <f>'2.SWARA'!E31 / 20</f>
        <v/>
      </c>
      <c r="L19" s="9">
        <f>'2.SWARA'!E32 / 20</f>
        <v/>
      </c>
      <c r="M19" s="9">
        <f>'2.SWARA'!E33 / 20</f>
        <v/>
      </c>
    </row>
    <row r="20" ht="22" customHeight="1">
      <c r="A20" s="2" t="inlineStr">
        <is>
          <t>A16</t>
        </is>
      </c>
      <c r="B20" s="9">
        <f>'2.SWARA'!E22 / 20</f>
        <v/>
      </c>
      <c r="C20" s="9">
        <f>'2.SWARA'!E23 / 20</f>
        <v/>
      </c>
      <c r="D20" s="9">
        <f>'2.SWARA'!E24 / 20</f>
        <v/>
      </c>
      <c r="E20" s="9">
        <f>'2.SWARA'!E25 / 20</f>
        <v/>
      </c>
      <c r="F20" s="9">
        <f>'2.SWARA'!E26 / 20</f>
        <v/>
      </c>
      <c r="G20" s="9">
        <f>'2.SWARA'!E27 / 20</f>
        <v/>
      </c>
      <c r="H20" s="9">
        <f>'2.SWARA'!E28 / 20</f>
        <v/>
      </c>
      <c r="I20" s="9">
        <f>'2.SWARA'!E29 / 20</f>
        <v/>
      </c>
      <c r="J20" s="9">
        <f>'2.SWARA'!E30 / 20</f>
        <v/>
      </c>
      <c r="K20" s="9">
        <f>'2.SWARA'!E31 / 20</f>
        <v/>
      </c>
      <c r="L20" s="9">
        <f>'2.SWARA'!E32 / 20</f>
        <v/>
      </c>
      <c r="M20" s="9">
        <f>'2.SWARA'!E33 / 20</f>
        <v/>
      </c>
    </row>
    <row r="21" ht="22" customHeight="1">
      <c r="A21" s="2" t="inlineStr">
        <is>
          <t>A17</t>
        </is>
      </c>
      <c r="B21" s="9">
        <f>'2.SWARA'!E22 / 20</f>
        <v/>
      </c>
      <c r="C21" s="9">
        <f>'2.SWARA'!E23 / 20</f>
        <v/>
      </c>
      <c r="D21" s="9">
        <f>'2.SWARA'!E24 / 20</f>
        <v/>
      </c>
      <c r="E21" s="9">
        <f>'2.SWARA'!E25 / 20</f>
        <v/>
      </c>
      <c r="F21" s="9">
        <f>'2.SWARA'!E26 / 20</f>
        <v/>
      </c>
      <c r="G21" s="9">
        <f>'2.SWARA'!E27 / 20</f>
        <v/>
      </c>
      <c r="H21" s="9">
        <f>'2.SWARA'!E28 / 20</f>
        <v/>
      </c>
      <c r="I21" s="9">
        <f>'2.SWARA'!E29 / 20</f>
        <v/>
      </c>
      <c r="J21" s="9">
        <f>'2.SWARA'!E30 / 20</f>
        <v/>
      </c>
      <c r="K21" s="9">
        <f>'2.SWARA'!E31 / 20</f>
        <v/>
      </c>
      <c r="L21" s="9">
        <f>'2.SWARA'!E32 / 20</f>
        <v/>
      </c>
      <c r="M21" s="9">
        <f>'2.SWARA'!E33 / 20</f>
        <v/>
      </c>
    </row>
    <row r="22" ht="22" customHeight="1">
      <c r="A22" s="2" t="inlineStr">
        <is>
          <t>A18</t>
        </is>
      </c>
      <c r="B22" s="9">
        <f>'2.SWARA'!E22 / 20</f>
        <v/>
      </c>
      <c r="C22" s="9">
        <f>'2.SWARA'!E23 / 20</f>
        <v/>
      </c>
      <c r="D22" s="9">
        <f>'2.SWARA'!E24 / 20</f>
        <v/>
      </c>
      <c r="E22" s="9">
        <f>'2.SWARA'!E25 / 20</f>
        <v/>
      </c>
      <c r="F22" s="9">
        <f>'2.SWARA'!E26 / 20</f>
        <v/>
      </c>
      <c r="G22" s="9">
        <f>'2.SWARA'!E27 / 20</f>
        <v/>
      </c>
      <c r="H22" s="9">
        <f>'2.SWARA'!E28 / 20</f>
        <v/>
      </c>
      <c r="I22" s="9">
        <f>'2.SWARA'!E29 / 20</f>
        <v/>
      </c>
      <c r="J22" s="9">
        <f>'2.SWARA'!E30 / 20</f>
        <v/>
      </c>
      <c r="K22" s="9">
        <f>'2.SWARA'!E31 / 20</f>
        <v/>
      </c>
      <c r="L22" s="9">
        <f>'2.SWARA'!E32 / 20</f>
        <v/>
      </c>
      <c r="M22" s="9">
        <f>'2.SWARA'!E33 / 20</f>
        <v/>
      </c>
    </row>
    <row r="23" ht="22" customHeight="1">
      <c r="A23" s="2" t="inlineStr">
        <is>
          <t>A19</t>
        </is>
      </c>
      <c r="B23" s="9">
        <f>'2.SWARA'!E22 / 20</f>
        <v/>
      </c>
      <c r="C23" s="9">
        <f>'2.SWARA'!E23 / 20</f>
        <v/>
      </c>
      <c r="D23" s="9">
        <f>'2.SWARA'!E24 / 20</f>
        <v/>
      </c>
      <c r="E23" s="9">
        <f>'2.SWARA'!E25 / 20</f>
        <v/>
      </c>
      <c r="F23" s="9">
        <f>'2.SWARA'!E26 / 20</f>
        <v/>
      </c>
      <c r="G23" s="9">
        <f>'2.SWARA'!E27 / 20</f>
        <v/>
      </c>
      <c r="H23" s="9">
        <f>'2.SWARA'!E28 / 20</f>
        <v/>
      </c>
      <c r="I23" s="9">
        <f>'2.SWARA'!E29 / 20</f>
        <v/>
      </c>
      <c r="J23" s="9">
        <f>'2.SWARA'!E30 / 20</f>
        <v/>
      </c>
      <c r="K23" s="9">
        <f>'2.SWARA'!E31 / 20</f>
        <v/>
      </c>
      <c r="L23" s="9">
        <f>'2.SWARA'!E32 / 20</f>
        <v/>
      </c>
      <c r="M23" s="9">
        <f>'2.SWARA'!E33 / 20</f>
        <v/>
      </c>
    </row>
    <row r="24" ht="22" customHeight="1">
      <c r="A24" s="2" t="inlineStr">
        <is>
          <t>A20</t>
        </is>
      </c>
      <c r="B24" s="9">
        <f>'2.SWARA'!E22 / 20</f>
        <v/>
      </c>
      <c r="C24" s="9">
        <f>'2.SWARA'!E23 / 20</f>
        <v/>
      </c>
      <c r="D24" s="9">
        <f>'2.SWARA'!E24 / 20</f>
        <v/>
      </c>
      <c r="E24" s="9">
        <f>'2.SWARA'!E25 / 20</f>
        <v/>
      </c>
      <c r="F24" s="9">
        <f>'2.SWARA'!E26 / 20</f>
        <v/>
      </c>
      <c r="G24" s="9">
        <f>'2.SWARA'!E27 / 20</f>
        <v/>
      </c>
      <c r="H24" s="9">
        <f>'2.SWARA'!E28 / 20</f>
        <v/>
      </c>
      <c r="I24" s="9">
        <f>'2.SWARA'!E29 / 20</f>
        <v/>
      </c>
      <c r="J24" s="9">
        <f>'2.SWARA'!E30 / 20</f>
        <v/>
      </c>
      <c r="K24" s="9">
        <f>'2.SWARA'!E31 / 20</f>
        <v/>
      </c>
      <c r="L24" s="9">
        <f>'2.SWARA'!E32 / 20</f>
        <v/>
      </c>
      <c r="M24" s="9">
        <f>'2.SWARA'!E33 / 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PREFERENSI NYATA (PPij) — MAIRCA</t>
        </is>
      </c>
    </row>
    <row r="2">
      <c r="A2" s="11" t="inlineStr">
        <is>
          <t>Rumus: PPij = TPij * x_ij_norm</t>
        </is>
      </c>
    </row>
    <row r="3"/>
    <row r="4">
      <c r="A4" s="1" t="inlineStr">
        <is>
          <t>Alternatif</t>
        </is>
      </c>
      <c r="B4" s="1" t="inlineStr">
        <is>
          <t>K1</t>
        </is>
      </c>
      <c r="C4" s="1" t="inlineStr">
        <is>
          <t>K2</t>
        </is>
      </c>
      <c r="D4" s="1" t="inlineStr">
        <is>
          <t>K3</t>
        </is>
      </c>
      <c r="E4" s="1" t="inlineStr">
        <is>
          <t>K4</t>
        </is>
      </c>
      <c r="F4" s="1" t="inlineStr">
        <is>
          <t>K5</t>
        </is>
      </c>
      <c r="G4" s="1" t="inlineStr">
        <is>
          <t>K6</t>
        </is>
      </c>
      <c r="H4" s="1" t="inlineStr">
        <is>
          <t>K7</t>
        </is>
      </c>
      <c r="I4" s="1" t="inlineStr">
        <is>
          <t>K8</t>
        </is>
      </c>
      <c r="J4" s="1" t="inlineStr">
        <is>
          <t>K9</t>
        </is>
      </c>
      <c r="K4" s="1" t="inlineStr">
        <is>
          <t>K10</t>
        </is>
      </c>
      <c r="L4" s="1" t="inlineStr">
        <is>
          <t>K11</t>
        </is>
      </c>
      <c r="M4" s="1" t="inlineStr">
        <is>
          <t>K12</t>
        </is>
      </c>
    </row>
    <row r="5" ht="22" customHeight="1">
      <c r="A5" s="2" t="inlineStr">
        <is>
          <t>A01</t>
        </is>
      </c>
      <c r="B5" s="9">
        <f>'4.Pref.Teoritis'!B5 * '3.Normalisasi'!B5</f>
        <v/>
      </c>
      <c r="C5" s="9">
        <f>'4.Pref.Teoritis'!C5 * '3.Normalisasi'!C5</f>
        <v/>
      </c>
      <c r="D5" s="9">
        <f>'4.Pref.Teoritis'!D5 * '3.Normalisasi'!D5</f>
        <v/>
      </c>
      <c r="E5" s="9">
        <f>'4.Pref.Teoritis'!E5 * '3.Normalisasi'!E5</f>
        <v/>
      </c>
      <c r="F5" s="9">
        <f>'4.Pref.Teoritis'!F5 * '3.Normalisasi'!F5</f>
        <v/>
      </c>
      <c r="G5" s="9">
        <f>'4.Pref.Teoritis'!G5 * '3.Normalisasi'!G5</f>
        <v/>
      </c>
      <c r="H5" s="9">
        <f>'4.Pref.Teoritis'!H5 * '3.Normalisasi'!H5</f>
        <v/>
      </c>
      <c r="I5" s="9">
        <f>'4.Pref.Teoritis'!I5 * '3.Normalisasi'!I5</f>
        <v/>
      </c>
      <c r="J5" s="9">
        <f>'4.Pref.Teoritis'!J5 * '3.Normalisasi'!J5</f>
        <v/>
      </c>
      <c r="K5" s="9">
        <f>'4.Pref.Teoritis'!K5 * '3.Normalisasi'!K5</f>
        <v/>
      </c>
      <c r="L5" s="9">
        <f>'4.Pref.Teoritis'!L5 * '3.Normalisasi'!L5</f>
        <v/>
      </c>
      <c r="M5" s="9">
        <f>'4.Pref.Teoritis'!M5 * '3.Normalisasi'!M5</f>
        <v/>
      </c>
    </row>
    <row r="6" ht="22" customHeight="1">
      <c r="A6" s="2" t="inlineStr">
        <is>
          <t>A02</t>
        </is>
      </c>
      <c r="B6" s="9">
        <f>'4.Pref.Teoritis'!B6 * '3.Normalisasi'!B6</f>
        <v/>
      </c>
      <c r="C6" s="9">
        <f>'4.Pref.Teoritis'!C6 * '3.Normalisasi'!C6</f>
        <v/>
      </c>
      <c r="D6" s="9">
        <f>'4.Pref.Teoritis'!D6 * '3.Normalisasi'!D6</f>
        <v/>
      </c>
      <c r="E6" s="9">
        <f>'4.Pref.Teoritis'!E6 * '3.Normalisasi'!E6</f>
        <v/>
      </c>
      <c r="F6" s="9">
        <f>'4.Pref.Teoritis'!F6 * '3.Normalisasi'!F6</f>
        <v/>
      </c>
      <c r="G6" s="9">
        <f>'4.Pref.Teoritis'!G6 * '3.Normalisasi'!G6</f>
        <v/>
      </c>
      <c r="H6" s="9">
        <f>'4.Pref.Teoritis'!H6 * '3.Normalisasi'!H6</f>
        <v/>
      </c>
      <c r="I6" s="9">
        <f>'4.Pref.Teoritis'!I6 * '3.Normalisasi'!I6</f>
        <v/>
      </c>
      <c r="J6" s="9">
        <f>'4.Pref.Teoritis'!J6 * '3.Normalisasi'!J6</f>
        <v/>
      </c>
      <c r="K6" s="9">
        <f>'4.Pref.Teoritis'!K6 * '3.Normalisasi'!K6</f>
        <v/>
      </c>
      <c r="L6" s="9">
        <f>'4.Pref.Teoritis'!L6 * '3.Normalisasi'!L6</f>
        <v/>
      </c>
      <c r="M6" s="9">
        <f>'4.Pref.Teoritis'!M6 * '3.Normalisasi'!M6</f>
        <v/>
      </c>
    </row>
    <row r="7" ht="22" customHeight="1">
      <c r="A7" s="2" t="inlineStr">
        <is>
          <t>A03</t>
        </is>
      </c>
      <c r="B7" s="9">
        <f>'4.Pref.Teoritis'!B7 * '3.Normalisasi'!B7</f>
        <v/>
      </c>
      <c r="C7" s="9">
        <f>'4.Pref.Teoritis'!C7 * '3.Normalisasi'!C7</f>
        <v/>
      </c>
      <c r="D7" s="9">
        <f>'4.Pref.Teoritis'!D7 * '3.Normalisasi'!D7</f>
        <v/>
      </c>
      <c r="E7" s="9">
        <f>'4.Pref.Teoritis'!E7 * '3.Normalisasi'!E7</f>
        <v/>
      </c>
      <c r="F7" s="9">
        <f>'4.Pref.Teoritis'!F7 * '3.Normalisasi'!F7</f>
        <v/>
      </c>
      <c r="G7" s="9">
        <f>'4.Pref.Teoritis'!G7 * '3.Normalisasi'!G7</f>
        <v/>
      </c>
      <c r="H7" s="9">
        <f>'4.Pref.Teoritis'!H7 * '3.Normalisasi'!H7</f>
        <v/>
      </c>
      <c r="I7" s="9">
        <f>'4.Pref.Teoritis'!I7 * '3.Normalisasi'!I7</f>
        <v/>
      </c>
      <c r="J7" s="9">
        <f>'4.Pref.Teoritis'!J7 * '3.Normalisasi'!J7</f>
        <v/>
      </c>
      <c r="K7" s="9">
        <f>'4.Pref.Teoritis'!K7 * '3.Normalisasi'!K7</f>
        <v/>
      </c>
      <c r="L7" s="9">
        <f>'4.Pref.Teoritis'!L7 * '3.Normalisasi'!L7</f>
        <v/>
      </c>
      <c r="M7" s="9">
        <f>'4.Pref.Teoritis'!M7 * '3.Normalisasi'!M7</f>
        <v/>
      </c>
    </row>
    <row r="8" ht="22" customHeight="1">
      <c r="A8" s="2" t="inlineStr">
        <is>
          <t>A04</t>
        </is>
      </c>
      <c r="B8" s="9">
        <f>'4.Pref.Teoritis'!B8 * '3.Normalisasi'!B8</f>
        <v/>
      </c>
      <c r="C8" s="9">
        <f>'4.Pref.Teoritis'!C8 * '3.Normalisasi'!C8</f>
        <v/>
      </c>
      <c r="D8" s="9">
        <f>'4.Pref.Teoritis'!D8 * '3.Normalisasi'!D8</f>
        <v/>
      </c>
      <c r="E8" s="9">
        <f>'4.Pref.Teoritis'!E8 * '3.Normalisasi'!E8</f>
        <v/>
      </c>
      <c r="F8" s="9">
        <f>'4.Pref.Teoritis'!F8 * '3.Normalisasi'!F8</f>
        <v/>
      </c>
      <c r="G8" s="9">
        <f>'4.Pref.Teoritis'!G8 * '3.Normalisasi'!G8</f>
        <v/>
      </c>
      <c r="H8" s="9">
        <f>'4.Pref.Teoritis'!H8 * '3.Normalisasi'!H8</f>
        <v/>
      </c>
      <c r="I8" s="9">
        <f>'4.Pref.Teoritis'!I8 * '3.Normalisasi'!I8</f>
        <v/>
      </c>
      <c r="J8" s="9">
        <f>'4.Pref.Teoritis'!J8 * '3.Normalisasi'!J8</f>
        <v/>
      </c>
      <c r="K8" s="9">
        <f>'4.Pref.Teoritis'!K8 * '3.Normalisasi'!K8</f>
        <v/>
      </c>
      <c r="L8" s="9">
        <f>'4.Pref.Teoritis'!L8 * '3.Normalisasi'!L8</f>
        <v/>
      </c>
      <c r="M8" s="9">
        <f>'4.Pref.Teoritis'!M8 * '3.Normalisasi'!M8</f>
        <v/>
      </c>
    </row>
    <row r="9" ht="22" customHeight="1">
      <c r="A9" s="2" t="inlineStr">
        <is>
          <t>A05</t>
        </is>
      </c>
      <c r="B9" s="9">
        <f>'4.Pref.Teoritis'!B9 * '3.Normalisasi'!B9</f>
        <v/>
      </c>
      <c r="C9" s="9">
        <f>'4.Pref.Teoritis'!C9 * '3.Normalisasi'!C9</f>
        <v/>
      </c>
      <c r="D9" s="9">
        <f>'4.Pref.Teoritis'!D9 * '3.Normalisasi'!D9</f>
        <v/>
      </c>
      <c r="E9" s="9">
        <f>'4.Pref.Teoritis'!E9 * '3.Normalisasi'!E9</f>
        <v/>
      </c>
      <c r="F9" s="9">
        <f>'4.Pref.Teoritis'!F9 * '3.Normalisasi'!F9</f>
        <v/>
      </c>
      <c r="G9" s="9">
        <f>'4.Pref.Teoritis'!G9 * '3.Normalisasi'!G9</f>
        <v/>
      </c>
      <c r="H9" s="9">
        <f>'4.Pref.Teoritis'!H9 * '3.Normalisasi'!H9</f>
        <v/>
      </c>
      <c r="I9" s="9">
        <f>'4.Pref.Teoritis'!I9 * '3.Normalisasi'!I9</f>
        <v/>
      </c>
      <c r="J9" s="9">
        <f>'4.Pref.Teoritis'!J9 * '3.Normalisasi'!J9</f>
        <v/>
      </c>
      <c r="K9" s="9">
        <f>'4.Pref.Teoritis'!K9 * '3.Normalisasi'!K9</f>
        <v/>
      </c>
      <c r="L9" s="9">
        <f>'4.Pref.Teoritis'!L9 * '3.Normalisasi'!L9</f>
        <v/>
      </c>
      <c r="M9" s="9">
        <f>'4.Pref.Teoritis'!M9 * '3.Normalisasi'!M9</f>
        <v/>
      </c>
    </row>
    <row r="10" ht="22" customHeight="1">
      <c r="A10" s="2" t="inlineStr">
        <is>
          <t>A06</t>
        </is>
      </c>
      <c r="B10" s="9">
        <f>'4.Pref.Teoritis'!B10 * '3.Normalisasi'!B10</f>
        <v/>
      </c>
      <c r="C10" s="9">
        <f>'4.Pref.Teoritis'!C10 * '3.Normalisasi'!C10</f>
        <v/>
      </c>
      <c r="D10" s="9">
        <f>'4.Pref.Teoritis'!D10 * '3.Normalisasi'!D10</f>
        <v/>
      </c>
      <c r="E10" s="9">
        <f>'4.Pref.Teoritis'!E10 * '3.Normalisasi'!E10</f>
        <v/>
      </c>
      <c r="F10" s="9">
        <f>'4.Pref.Teoritis'!F10 * '3.Normalisasi'!F10</f>
        <v/>
      </c>
      <c r="G10" s="9">
        <f>'4.Pref.Teoritis'!G10 * '3.Normalisasi'!G10</f>
        <v/>
      </c>
      <c r="H10" s="9">
        <f>'4.Pref.Teoritis'!H10 * '3.Normalisasi'!H10</f>
        <v/>
      </c>
      <c r="I10" s="9">
        <f>'4.Pref.Teoritis'!I10 * '3.Normalisasi'!I10</f>
        <v/>
      </c>
      <c r="J10" s="9">
        <f>'4.Pref.Teoritis'!J10 * '3.Normalisasi'!J10</f>
        <v/>
      </c>
      <c r="K10" s="9">
        <f>'4.Pref.Teoritis'!K10 * '3.Normalisasi'!K10</f>
        <v/>
      </c>
      <c r="L10" s="9">
        <f>'4.Pref.Teoritis'!L10 * '3.Normalisasi'!L10</f>
        <v/>
      </c>
      <c r="M10" s="9">
        <f>'4.Pref.Teoritis'!M10 * '3.Normalisasi'!M10</f>
        <v/>
      </c>
    </row>
    <row r="11" ht="22" customHeight="1">
      <c r="A11" s="2" t="inlineStr">
        <is>
          <t>A07</t>
        </is>
      </c>
      <c r="B11" s="9">
        <f>'4.Pref.Teoritis'!B11 * '3.Normalisasi'!B11</f>
        <v/>
      </c>
      <c r="C11" s="9">
        <f>'4.Pref.Teoritis'!C11 * '3.Normalisasi'!C11</f>
        <v/>
      </c>
      <c r="D11" s="9">
        <f>'4.Pref.Teoritis'!D11 * '3.Normalisasi'!D11</f>
        <v/>
      </c>
      <c r="E11" s="9">
        <f>'4.Pref.Teoritis'!E11 * '3.Normalisasi'!E11</f>
        <v/>
      </c>
      <c r="F11" s="9">
        <f>'4.Pref.Teoritis'!F11 * '3.Normalisasi'!F11</f>
        <v/>
      </c>
      <c r="G11" s="9">
        <f>'4.Pref.Teoritis'!G11 * '3.Normalisasi'!G11</f>
        <v/>
      </c>
      <c r="H11" s="9">
        <f>'4.Pref.Teoritis'!H11 * '3.Normalisasi'!H11</f>
        <v/>
      </c>
      <c r="I11" s="9">
        <f>'4.Pref.Teoritis'!I11 * '3.Normalisasi'!I11</f>
        <v/>
      </c>
      <c r="J11" s="9">
        <f>'4.Pref.Teoritis'!J11 * '3.Normalisasi'!J11</f>
        <v/>
      </c>
      <c r="K11" s="9">
        <f>'4.Pref.Teoritis'!K11 * '3.Normalisasi'!K11</f>
        <v/>
      </c>
      <c r="L11" s="9">
        <f>'4.Pref.Teoritis'!L11 * '3.Normalisasi'!L11</f>
        <v/>
      </c>
      <c r="M11" s="9">
        <f>'4.Pref.Teoritis'!M11 * '3.Normalisasi'!M11</f>
        <v/>
      </c>
    </row>
    <row r="12" ht="22" customHeight="1">
      <c r="A12" s="2" t="inlineStr">
        <is>
          <t>A08</t>
        </is>
      </c>
      <c r="B12" s="9">
        <f>'4.Pref.Teoritis'!B12 * '3.Normalisasi'!B12</f>
        <v/>
      </c>
      <c r="C12" s="9">
        <f>'4.Pref.Teoritis'!C12 * '3.Normalisasi'!C12</f>
        <v/>
      </c>
      <c r="D12" s="9">
        <f>'4.Pref.Teoritis'!D12 * '3.Normalisasi'!D12</f>
        <v/>
      </c>
      <c r="E12" s="9">
        <f>'4.Pref.Teoritis'!E12 * '3.Normalisasi'!E12</f>
        <v/>
      </c>
      <c r="F12" s="9">
        <f>'4.Pref.Teoritis'!F12 * '3.Normalisasi'!F12</f>
        <v/>
      </c>
      <c r="G12" s="9">
        <f>'4.Pref.Teoritis'!G12 * '3.Normalisasi'!G12</f>
        <v/>
      </c>
      <c r="H12" s="9">
        <f>'4.Pref.Teoritis'!H12 * '3.Normalisasi'!H12</f>
        <v/>
      </c>
      <c r="I12" s="9">
        <f>'4.Pref.Teoritis'!I12 * '3.Normalisasi'!I12</f>
        <v/>
      </c>
      <c r="J12" s="9">
        <f>'4.Pref.Teoritis'!J12 * '3.Normalisasi'!J12</f>
        <v/>
      </c>
      <c r="K12" s="9">
        <f>'4.Pref.Teoritis'!K12 * '3.Normalisasi'!K12</f>
        <v/>
      </c>
      <c r="L12" s="9">
        <f>'4.Pref.Teoritis'!L12 * '3.Normalisasi'!L12</f>
        <v/>
      </c>
      <c r="M12" s="9">
        <f>'4.Pref.Teoritis'!M12 * '3.Normalisasi'!M12</f>
        <v/>
      </c>
    </row>
    <row r="13" ht="22" customHeight="1">
      <c r="A13" s="2" t="inlineStr">
        <is>
          <t>A09</t>
        </is>
      </c>
      <c r="B13" s="9">
        <f>'4.Pref.Teoritis'!B13 * '3.Normalisasi'!B13</f>
        <v/>
      </c>
      <c r="C13" s="9">
        <f>'4.Pref.Teoritis'!C13 * '3.Normalisasi'!C13</f>
        <v/>
      </c>
      <c r="D13" s="9">
        <f>'4.Pref.Teoritis'!D13 * '3.Normalisasi'!D13</f>
        <v/>
      </c>
      <c r="E13" s="9">
        <f>'4.Pref.Teoritis'!E13 * '3.Normalisasi'!E13</f>
        <v/>
      </c>
      <c r="F13" s="9">
        <f>'4.Pref.Teoritis'!F13 * '3.Normalisasi'!F13</f>
        <v/>
      </c>
      <c r="G13" s="9">
        <f>'4.Pref.Teoritis'!G13 * '3.Normalisasi'!G13</f>
        <v/>
      </c>
      <c r="H13" s="9">
        <f>'4.Pref.Teoritis'!H13 * '3.Normalisasi'!H13</f>
        <v/>
      </c>
      <c r="I13" s="9">
        <f>'4.Pref.Teoritis'!I13 * '3.Normalisasi'!I13</f>
        <v/>
      </c>
      <c r="J13" s="9">
        <f>'4.Pref.Teoritis'!J13 * '3.Normalisasi'!J13</f>
        <v/>
      </c>
      <c r="K13" s="9">
        <f>'4.Pref.Teoritis'!K13 * '3.Normalisasi'!K13</f>
        <v/>
      </c>
      <c r="L13" s="9">
        <f>'4.Pref.Teoritis'!L13 * '3.Normalisasi'!L13</f>
        <v/>
      </c>
      <c r="M13" s="9">
        <f>'4.Pref.Teoritis'!M13 * '3.Normalisasi'!M13</f>
        <v/>
      </c>
    </row>
    <row r="14" ht="22" customHeight="1">
      <c r="A14" s="2" t="inlineStr">
        <is>
          <t>A10</t>
        </is>
      </c>
      <c r="B14" s="9">
        <f>'4.Pref.Teoritis'!B14 * '3.Normalisasi'!B14</f>
        <v/>
      </c>
      <c r="C14" s="9">
        <f>'4.Pref.Teoritis'!C14 * '3.Normalisasi'!C14</f>
        <v/>
      </c>
      <c r="D14" s="9">
        <f>'4.Pref.Teoritis'!D14 * '3.Normalisasi'!D14</f>
        <v/>
      </c>
      <c r="E14" s="9">
        <f>'4.Pref.Teoritis'!E14 * '3.Normalisasi'!E14</f>
        <v/>
      </c>
      <c r="F14" s="9">
        <f>'4.Pref.Teoritis'!F14 * '3.Normalisasi'!F14</f>
        <v/>
      </c>
      <c r="G14" s="9">
        <f>'4.Pref.Teoritis'!G14 * '3.Normalisasi'!G14</f>
        <v/>
      </c>
      <c r="H14" s="9">
        <f>'4.Pref.Teoritis'!H14 * '3.Normalisasi'!H14</f>
        <v/>
      </c>
      <c r="I14" s="9">
        <f>'4.Pref.Teoritis'!I14 * '3.Normalisasi'!I14</f>
        <v/>
      </c>
      <c r="J14" s="9">
        <f>'4.Pref.Teoritis'!J14 * '3.Normalisasi'!J14</f>
        <v/>
      </c>
      <c r="K14" s="9">
        <f>'4.Pref.Teoritis'!K14 * '3.Normalisasi'!K14</f>
        <v/>
      </c>
      <c r="L14" s="9">
        <f>'4.Pref.Teoritis'!L14 * '3.Normalisasi'!L14</f>
        <v/>
      </c>
      <c r="M14" s="9">
        <f>'4.Pref.Teoritis'!M14 * '3.Normalisasi'!M14</f>
        <v/>
      </c>
    </row>
    <row r="15" ht="22" customHeight="1">
      <c r="A15" s="2" t="inlineStr">
        <is>
          <t>A11</t>
        </is>
      </c>
      <c r="B15" s="9">
        <f>'4.Pref.Teoritis'!B15 * '3.Normalisasi'!B15</f>
        <v/>
      </c>
      <c r="C15" s="9">
        <f>'4.Pref.Teoritis'!C15 * '3.Normalisasi'!C15</f>
        <v/>
      </c>
      <c r="D15" s="9">
        <f>'4.Pref.Teoritis'!D15 * '3.Normalisasi'!D15</f>
        <v/>
      </c>
      <c r="E15" s="9">
        <f>'4.Pref.Teoritis'!E15 * '3.Normalisasi'!E15</f>
        <v/>
      </c>
      <c r="F15" s="9">
        <f>'4.Pref.Teoritis'!F15 * '3.Normalisasi'!F15</f>
        <v/>
      </c>
      <c r="G15" s="9">
        <f>'4.Pref.Teoritis'!G15 * '3.Normalisasi'!G15</f>
        <v/>
      </c>
      <c r="H15" s="9">
        <f>'4.Pref.Teoritis'!H15 * '3.Normalisasi'!H15</f>
        <v/>
      </c>
      <c r="I15" s="9">
        <f>'4.Pref.Teoritis'!I15 * '3.Normalisasi'!I15</f>
        <v/>
      </c>
      <c r="J15" s="9">
        <f>'4.Pref.Teoritis'!J15 * '3.Normalisasi'!J15</f>
        <v/>
      </c>
      <c r="K15" s="9">
        <f>'4.Pref.Teoritis'!K15 * '3.Normalisasi'!K15</f>
        <v/>
      </c>
      <c r="L15" s="9">
        <f>'4.Pref.Teoritis'!L15 * '3.Normalisasi'!L15</f>
        <v/>
      </c>
      <c r="M15" s="9">
        <f>'4.Pref.Teoritis'!M15 * '3.Normalisasi'!M15</f>
        <v/>
      </c>
    </row>
    <row r="16" ht="22" customHeight="1">
      <c r="A16" s="2" t="inlineStr">
        <is>
          <t>A12</t>
        </is>
      </c>
      <c r="B16" s="9">
        <f>'4.Pref.Teoritis'!B16 * '3.Normalisasi'!B16</f>
        <v/>
      </c>
      <c r="C16" s="9">
        <f>'4.Pref.Teoritis'!C16 * '3.Normalisasi'!C16</f>
        <v/>
      </c>
      <c r="D16" s="9">
        <f>'4.Pref.Teoritis'!D16 * '3.Normalisasi'!D16</f>
        <v/>
      </c>
      <c r="E16" s="9">
        <f>'4.Pref.Teoritis'!E16 * '3.Normalisasi'!E16</f>
        <v/>
      </c>
      <c r="F16" s="9">
        <f>'4.Pref.Teoritis'!F16 * '3.Normalisasi'!F16</f>
        <v/>
      </c>
      <c r="G16" s="9">
        <f>'4.Pref.Teoritis'!G16 * '3.Normalisasi'!G16</f>
        <v/>
      </c>
      <c r="H16" s="9">
        <f>'4.Pref.Teoritis'!H16 * '3.Normalisasi'!H16</f>
        <v/>
      </c>
      <c r="I16" s="9">
        <f>'4.Pref.Teoritis'!I16 * '3.Normalisasi'!I16</f>
        <v/>
      </c>
      <c r="J16" s="9">
        <f>'4.Pref.Teoritis'!J16 * '3.Normalisasi'!J16</f>
        <v/>
      </c>
      <c r="K16" s="9">
        <f>'4.Pref.Teoritis'!K16 * '3.Normalisasi'!K16</f>
        <v/>
      </c>
      <c r="L16" s="9">
        <f>'4.Pref.Teoritis'!L16 * '3.Normalisasi'!L16</f>
        <v/>
      </c>
      <c r="M16" s="9">
        <f>'4.Pref.Teoritis'!M16 * '3.Normalisasi'!M16</f>
        <v/>
      </c>
    </row>
    <row r="17" ht="22" customHeight="1">
      <c r="A17" s="2" t="inlineStr">
        <is>
          <t>A13</t>
        </is>
      </c>
      <c r="B17" s="9">
        <f>'4.Pref.Teoritis'!B17 * '3.Normalisasi'!B17</f>
        <v/>
      </c>
      <c r="C17" s="9">
        <f>'4.Pref.Teoritis'!C17 * '3.Normalisasi'!C17</f>
        <v/>
      </c>
      <c r="D17" s="9">
        <f>'4.Pref.Teoritis'!D17 * '3.Normalisasi'!D17</f>
        <v/>
      </c>
      <c r="E17" s="9">
        <f>'4.Pref.Teoritis'!E17 * '3.Normalisasi'!E17</f>
        <v/>
      </c>
      <c r="F17" s="9">
        <f>'4.Pref.Teoritis'!F17 * '3.Normalisasi'!F17</f>
        <v/>
      </c>
      <c r="G17" s="9">
        <f>'4.Pref.Teoritis'!G17 * '3.Normalisasi'!G17</f>
        <v/>
      </c>
      <c r="H17" s="9">
        <f>'4.Pref.Teoritis'!H17 * '3.Normalisasi'!H17</f>
        <v/>
      </c>
      <c r="I17" s="9">
        <f>'4.Pref.Teoritis'!I17 * '3.Normalisasi'!I17</f>
        <v/>
      </c>
      <c r="J17" s="9">
        <f>'4.Pref.Teoritis'!J17 * '3.Normalisasi'!J17</f>
        <v/>
      </c>
      <c r="K17" s="9">
        <f>'4.Pref.Teoritis'!K17 * '3.Normalisasi'!K17</f>
        <v/>
      </c>
      <c r="L17" s="9">
        <f>'4.Pref.Teoritis'!L17 * '3.Normalisasi'!L17</f>
        <v/>
      </c>
      <c r="M17" s="9">
        <f>'4.Pref.Teoritis'!M17 * '3.Normalisasi'!M17</f>
        <v/>
      </c>
    </row>
    <row r="18" ht="22" customHeight="1">
      <c r="A18" s="2" t="inlineStr">
        <is>
          <t>A14</t>
        </is>
      </c>
      <c r="B18" s="9">
        <f>'4.Pref.Teoritis'!B18 * '3.Normalisasi'!B18</f>
        <v/>
      </c>
      <c r="C18" s="9">
        <f>'4.Pref.Teoritis'!C18 * '3.Normalisasi'!C18</f>
        <v/>
      </c>
      <c r="D18" s="9">
        <f>'4.Pref.Teoritis'!D18 * '3.Normalisasi'!D18</f>
        <v/>
      </c>
      <c r="E18" s="9">
        <f>'4.Pref.Teoritis'!E18 * '3.Normalisasi'!E18</f>
        <v/>
      </c>
      <c r="F18" s="9">
        <f>'4.Pref.Teoritis'!F18 * '3.Normalisasi'!F18</f>
        <v/>
      </c>
      <c r="G18" s="9">
        <f>'4.Pref.Teoritis'!G18 * '3.Normalisasi'!G18</f>
        <v/>
      </c>
      <c r="H18" s="9">
        <f>'4.Pref.Teoritis'!H18 * '3.Normalisasi'!H18</f>
        <v/>
      </c>
      <c r="I18" s="9">
        <f>'4.Pref.Teoritis'!I18 * '3.Normalisasi'!I18</f>
        <v/>
      </c>
      <c r="J18" s="9">
        <f>'4.Pref.Teoritis'!J18 * '3.Normalisasi'!J18</f>
        <v/>
      </c>
      <c r="K18" s="9">
        <f>'4.Pref.Teoritis'!K18 * '3.Normalisasi'!K18</f>
        <v/>
      </c>
      <c r="L18" s="9">
        <f>'4.Pref.Teoritis'!L18 * '3.Normalisasi'!L18</f>
        <v/>
      </c>
      <c r="M18" s="9">
        <f>'4.Pref.Teoritis'!M18 * '3.Normalisasi'!M18</f>
        <v/>
      </c>
    </row>
    <row r="19" ht="22" customHeight="1">
      <c r="A19" s="2" t="inlineStr">
        <is>
          <t>A15</t>
        </is>
      </c>
      <c r="B19" s="9">
        <f>'4.Pref.Teoritis'!B19 * '3.Normalisasi'!B19</f>
        <v/>
      </c>
      <c r="C19" s="9">
        <f>'4.Pref.Teoritis'!C19 * '3.Normalisasi'!C19</f>
        <v/>
      </c>
      <c r="D19" s="9">
        <f>'4.Pref.Teoritis'!D19 * '3.Normalisasi'!D19</f>
        <v/>
      </c>
      <c r="E19" s="9">
        <f>'4.Pref.Teoritis'!E19 * '3.Normalisasi'!E19</f>
        <v/>
      </c>
      <c r="F19" s="9">
        <f>'4.Pref.Teoritis'!F19 * '3.Normalisasi'!F19</f>
        <v/>
      </c>
      <c r="G19" s="9">
        <f>'4.Pref.Teoritis'!G19 * '3.Normalisasi'!G19</f>
        <v/>
      </c>
      <c r="H19" s="9">
        <f>'4.Pref.Teoritis'!H19 * '3.Normalisasi'!H19</f>
        <v/>
      </c>
      <c r="I19" s="9">
        <f>'4.Pref.Teoritis'!I19 * '3.Normalisasi'!I19</f>
        <v/>
      </c>
      <c r="J19" s="9">
        <f>'4.Pref.Teoritis'!J19 * '3.Normalisasi'!J19</f>
        <v/>
      </c>
      <c r="K19" s="9">
        <f>'4.Pref.Teoritis'!K19 * '3.Normalisasi'!K19</f>
        <v/>
      </c>
      <c r="L19" s="9">
        <f>'4.Pref.Teoritis'!L19 * '3.Normalisasi'!L19</f>
        <v/>
      </c>
      <c r="M19" s="9">
        <f>'4.Pref.Teoritis'!M19 * '3.Normalisasi'!M19</f>
        <v/>
      </c>
    </row>
    <row r="20" ht="22" customHeight="1">
      <c r="A20" s="2" t="inlineStr">
        <is>
          <t>A16</t>
        </is>
      </c>
      <c r="B20" s="9">
        <f>'4.Pref.Teoritis'!B20 * '3.Normalisasi'!B20</f>
        <v/>
      </c>
      <c r="C20" s="9">
        <f>'4.Pref.Teoritis'!C20 * '3.Normalisasi'!C20</f>
        <v/>
      </c>
      <c r="D20" s="9">
        <f>'4.Pref.Teoritis'!D20 * '3.Normalisasi'!D20</f>
        <v/>
      </c>
      <c r="E20" s="9">
        <f>'4.Pref.Teoritis'!E20 * '3.Normalisasi'!E20</f>
        <v/>
      </c>
      <c r="F20" s="9">
        <f>'4.Pref.Teoritis'!F20 * '3.Normalisasi'!F20</f>
        <v/>
      </c>
      <c r="G20" s="9">
        <f>'4.Pref.Teoritis'!G20 * '3.Normalisasi'!G20</f>
        <v/>
      </c>
      <c r="H20" s="9">
        <f>'4.Pref.Teoritis'!H20 * '3.Normalisasi'!H20</f>
        <v/>
      </c>
      <c r="I20" s="9">
        <f>'4.Pref.Teoritis'!I20 * '3.Normalisasi'!I20</f>
        <v/>
      </c>
      <c r="J20" s="9">
        <f>'4.Pref.Teoritis'!J20 * '3.Normalisasi'!J20</f>
        <v/>
      </c>
      <c r="K20" s="9">
        <f>'4.Pref.Teoritis'!K20 * '3.Normalisasi'!K20</f>
        <v/>
      </c>
      <c r="L20" s="9">
        <f>'4.Pref.Teoritis'!L20 * '3.Normalisasi'!L20</f>
        <v/>
      </c>
      <c r="M20" s="9">
        <f>'4.Pref.Teoritis'!M20 * '3.Normalisasi'!M20</f>
        <v/>
      </c>
    </row>
    <row r="21" ht="22" customHeight="1">
      <c r="A21" s="2" t="inlineStr">
        <is>
          <t>A17</t>
        </is>
      </c>
      <c r="B21" s="9">
        <f>'4.Pref.Teoritis'!B21 * '3.Normalisasi'!B21</f>
        <v/>
      </c>
      <c r="C21" s="9">
        <f>'4.Pref.Teoritis'!C21 * '3.Normalisasi'!C21</f>
        <v/>
      </c>
      <c r="D21" s="9">
        <f>'4.Pref.Teoritis'!D21 * '3.Normalisasi'!D21</f>
        <v/>
      </c>
      <c r="E21" s="9">
        <f>'4.Pref.Teoritis'!E21 * '3.Normalisasi'!E21</f>
        <v/>
      </c>
      <c r="F21" s="9">
        <f>'4.Pref.Teoritis'!F21 * '3.Normalisasi'!F21</f>
        <v/>
      </c>
      <c r="G21" s="9">
        <f>'4.Pref.Teoritis'!G21 * '3.Normalisasi'!G21</f>
        <v/>
      </c>
      <c r="H21" s="9">
        <f>'4.Pref.Teoritis'!H21 * '3.Normalisasi'!H21</f>
        <v/>
      </c>
      <c r="I21" s="9">
        <f>'4.Pref.Teoritis'!I21 * '3.Normalisasi'!I21</f>
        <v/>
      </c>
      <c r="J21" s="9">
        <f>'4.Pref.Teoritis'!J21 * '3.Normalisasi'!J21</f>
        <v/>
      </c>
      <c r="K21" s="9">
        <f>'4.Pref.Teoritis'!K21 * '3.Normalisasi'!K21</f>
        <v/>
      </c>
      <c r="L21" s="9">
        <f>'4.Pref.Teoritis'!L21 * '3.Normalisasi'!L21</f>
        <v/>
      </c>
      <c r="M21" s="9">
        <f>'4.Pref.Teoritis'!M21 * '3.Normalisasi'!M21</f>
        <v/>
      </c>
    </row>
    <row r="22" ht="22" customHeight="1">
      <c r="A22" s="2" t="inlineStr">
        <is>
          <t>A18</t>
        </is>
      </c>
      <c r="B22" s="9">
        <f>'4.Pref.Teoritis'!B22 * '3.Normalisasi'!B22</f>
        <v/>
      </c>
      <c r="C22" s="9">
        <f>'4.Pref.Teoritis'!C22 * '3.Normalisasi'!C22</f>
        <v/>
      </c>
      <c r="D22" s="9">
        <f>'4.Pref.Teoritis'!D22 * '3.Normalisasi'!D22</f>
        <v/>
      </c>
      <c r="E22" s="9">
        <f>'4.Pref.Teoritis'!E22 * '3.Normalisasi'!E22</f>
        <v/>
      </c>
      <c r="F22" s="9">
        <f>'4.Pref.Teoritis'!F22 * '3.Normalisasi'!F22</f>
        <v/>
      </c>
      <c r="G22" s="9">
        <f>'4.Pref.Teoritis'!G22 * '3.Normalisasi'!G22</f>
        <v/>
      </c>
      <c r="H22" s="9">
        <f>'4.Pref.Teoritis'!H22 * '3.Normalisasi'!H22</f>
        <v/>
      </c>
      <c r="I22" s="9">
        <f>'4.Pref.Teoritis'!I22 * '3.Normalisasi'!I22</f>
        <v/>
      </c>
      <c r="J22" s="9">
        <f>'4.Pref.Teoritis'!J22 * '3.Normalisasi'!J22</f>
        <v/>
      </c>
      <c r="K22" s="9">
        <f>'4.Pref.Teoritis'!K22 * '3.Normalisasi'!K22</f>
        <v/>
      </c>
      <c r="L22" s="9">
        <f>'4.Pref.Teoritis'!L22 * '3.Normalisasi'!L22</f>
        <v/>
      </c>
      <c r="M22" s="9">
        <f>'4.Pref.Teoritis'!M22 * '3.Normalisasi'!M22</f>
        <v/>
      </c>
    </row>
    <row r="23" ht="22" customHeight="1">
      <c r="A23" s="2" t="inlineStr">
        <is>
          <t>A19</t>
        </is>
      </c>
      <c r="B23" s="9">
        <f>'4.Pref.Teoritis'!B23 * '3.Normalisasi'!B23</f>
        <v/>
      </c>
      <c r="C23" s="9">
        <f>'4.Pref.Teoritis'!C23 * '3.Normalisasi'!C23</f>
        <v/>
      </c>
      <c r="D23" s="9">
        <f>'4.Pref.Teoritis'!D23 * '3.Normalisasi'!D23</f>
        <v/>
      </c>
      <c r="E23" s="9">
        <f>'4.Pref.Teoritis'!E23 * '3.Normalisasi'!E23</f>
        <v/>
      </c>
      <c r="F23" s="9">
        <f>'4.Pref.Teoritis'!F23 * '3.Normalisasi'!F23</f>
        <v/>
      </c>
      <c r="G23" s="9">
        <f>'4.Pref.Teoritis'!G23 * '3.Normalisasi'!G23</f>
        <v/>
      </c>
      <c r="H23" s="9">
        <f>'4.Pref.Teoritis'!H23 * '3.Normalisasi'!H23</f>
        <v/>
      </c>
      <c r="I23" s="9">
        <f>'4.Pref.Teoritis'!I23 * '3.Normalisasi'!I23</f>
        <v/>
      </c>
      <c r="J23" s="9">
        <f>'4.Pref.Teoritis'!J23 * '3.Normalisasi'!J23</f>
        <v/>
      </c>
      <c r="K23" s="9">
        <f>'4.Pref.Teoritis'!K23 * '3.Normalisasi'!K23</f>
        <v/>
      </c>
      <c r="L23" s="9">
        <f>'4.Pref.Teoritis'!L23 * '3.Normalisasi'!L23</f>
        <v/>
      </c>
      <c r="M23" s="9">
        <f>'4.Pref.Teoritis'!M23 * '3.Normalisasi'!M23</f>
        <v/>
      </c>
    </row>
    <row r="24" ht="22" customHeight="1">
      <c r="A24" s="2" t="inlineStr">
        <is>
          <t>A20</t>
        </is>
      </c>
      <c r="B24" s="9">
        <f>'4.Pref.Teoritis'!B24 * '3.Normalisasi'!B24</f>
        <v/>
      </c>
      <c r="C24" s="9">
        <f>'4.Pref.Teoritis'!C24 * '3.Normalisasi'!C24</f>
        <v/>
      </c>
      <c r="D24" s="9">
        <f>'4.Pref.Teoritis'!D24 * '3.Normalisasi'!D24</f>
        <v/>
      </c>
      <c r="E24" s="9">
        <f>'4.Pref.Teoritis'!E24 * '3.Normalisasi'!E24</f>
        <v/>
      </c>
      <c r="F24" s="9">
        <f>'4.Pref.Teoritis'!F24 * '3.Normalisasi'!F24</f>
        <v/>
      </c>
      <c r="G24" s="9">
        <f>'4.Pref.Teoritis'!G24 * '3.Normalisasi'!G24</f>
        <v/>
      </c>
      <c r="H24" s="9">
        <f>'4.Pref.Teoritis'!H24 * '3.Normalisasi'!H24</f>
        <v/>
      </c>
      <c r="I24" s="9">
        <f>'4.Pref.Teoritis'!I24 * '3.Normalisasi'!I24</f>
        <v/>
      </c>
      <c r="J24" s="9">
        <f>'4.Pref.Teoritis'!J24 * '3.Normalisasi'!J24</f>
        <v/>
      </c>
      <c r="K24" s="9">
        <f>'4.Pref.Teoritis'!K24 * '3.Normalisasi'!K24</f>
        <v/>
      </c>
      <c r="L24" s="9">
        <f>'4.Pref.Teoritis'!L24 * '3.Normalisasi'!L24</f>
        <v/>
      </c>
      <c r="M24" s="9">
        <f>'4.Pref.Teoritis'!M24 * '3.Normalisasi'!M24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>
      <c r="A1" s="10" t="inlineStr">
        <is>
          <t>MATRIKS GAP (Gij) DAN NILAI Qi — MAIRCA</t>
        </is>
      </c>
    </row>
    <row r="2">
      <c r="A2" s="11" t="inlineStr">
        <is>
          <t>Rumus: Gij = TPij - PPij | Qi = sum(Gij)</t>
        </is>
      </c>
    </row>
    <row r="3"/>
    <row r="4">
      <c r="A4" s="1" t="inlineStr">
        <is>
          <t>Alternatif</t>
        </is>
      </c>
      <c r="B4" s="1" t="inlineStr">
        <is>
          <t>K1</t>
        </is>
      </c>
      <c r="C4" s="1" t="inlineStr">
        <is>
          <t>K2</t>
        </is>
      </c>
      <c r="D4" s="1" t="inlineStr">
        <is>
          <t>K3</t>
        </is>
      </c>
      <c r="E4" s="1" t="inlineStr">
        <is>
          <t>K4</t>
        </is>
      </c>
      <c r="F4" s="1" t="inlineStr">
        <is>
          <t>K5</t>
        </is>
      </c>
      <c r="G4" s="1" t="inlineStr">
        <is>
          <t>K6</t>
        </is>
      </c>
      <c r="H4" s="1" t="inlineStr">
        <is>
          <t>K7</t>
        </is>
      </c>
      <c r="I4" s="1" t="inlineStr">
        <is>
          <t>K8</t>
        </is>
      </c>
      <c r="J4" s="1" t="inlineStr">
        <is>
          <t>K9</t>
        </is>
      </c>
      <c r="K4" s="1" t="inlineStr">
        <is>
          <t>K10</t>
        </is>
      </c>
      <c r="L4" s="1" t="inlineStr">
        <is>
          <t>K11</t>
        </is>
      </c>
      <c r="M4" s="1" t="inlineStr">
        <is>
          <t>K12</t>
        </is>
      </c>
      <c r="N4" s="1" t="inlineStr">
        <is>
          <t>Qi (Σ Gap)</t>
        </is>
      </c>
      <c r="O4" s="1" t="inlineStr">
        <is>
          <t>Rank</t>
        </is>
      </c>
    </row>
    <row r="5" ht="22" customHeight="1">
      <c r="A5" s="2" t="inlineStr">
        <is>
          <t>A01</t>
        </is>
      </c>
      <c r="B5" s="9">
        <f>'4.Pref.Teoritis'!B5 - '5.Pref.Nyata'!B5</f>
        <v/>
      </c>
      <c r="C5" s="9">
        <f>'4.Pref.Teoritis'!C5 - '5.Pref.Nyata'!C5</f>
        <v/>
      </c>
      <c r="D5" s="9">
        <f>'4.Pref.Teoritis'!D5 - '5.Pref.Nyata'!D5</f>
        <v/>
      </c>
      <c r="E5" s="9">
        <f>'4.Pref.Teoritis'!E5 - '5.Pref.Nyata'!E5</f>
        <v/>
      </c>
      <c r="F5" s="9">
        <f>'4.Pref.Teoritis'!F5 - '5.Pref.Nyata'!F5</f>
        <v/>
      </c>
      <c r="G5" s="9">
        <f>'4.Pref.Teoritis'!G5 - '5.Pref.Nyata'!G5</f>
        <v/>
      </c>
      <c r="H5" s="9">
        <f>'4.Pref.Teoritis'!H5 - '5.Pref.Nyata'!H5</f>
        <v/>
      </c>
      <c r="I5" s="9">
        <f>'4.Pref.Teoritis'!I5 - '5.Pref.Nyata'!I5</f>
        <v/>
      </c>
      <c r="J5" s="9">
        <f>'4.Pref.Teoritis'!J5 - '5.Pref.Nyata'!J5</f>
        <v/>
      </c>
      <c r="K5" s="9">
        <f>'4.Pref.Teoritis'!K5 - '5.Pref.Nyata'!K5</f>
        <v/>
      </c>
      <c r="L5" s="9">
        <f>'4.Pref.Teoritis'!L5 - '5.Pref.Nyata'!L5</f>
        <v/>
      </c>
      <c r="M5" s="9">
        <f>'4.Pref.Teoritis'!M5 - '5.Pref.Nyata'!M5</f>
        <v/>
      </c>
      <c r="N5" s="12">
        <f>SUM(B5:M5)</f>
        <v/>
      </c>
      <c r="O5" s="2">
        <f>RANK(N5, N$5:N$24, 1)</f>
        <v/>
      </c>
    </row>
    <row r="6" ht="22" customHeight="1">
      <c r="A6" s="2" t="inlineStr">
        <is>
          <t>A02</t>
        </is>
      </c>
      <c r="B6" s="9">
        <f>'4.Pref.Teoritis'!B6 - '5.Pref.Nyata'!B6</f>
        <v/>
      </c>
      <c r="C6" s="9">
        <f>'4.Pref.Teoritis'!C6 - '5.Pref.Nyata'!C6</f>
        <v/>
      </c>
      <c r="D6" s="9">
        <f>'4.Pref.Teoritis'!D6 - '5.Pref.Nyata'!D6</f>
        <v/>
      </c>
      <c r="E6" s="9">
        <f>'4.Pref.Teoritis'!E6 - '5.Pref.Nyata'!E6</f>
        <v/>
      </c>
      <c r="F6" s="9">
        <f>'4.Pref.Teoritis'!F6 - '5.Pref.Nyata'!F6</f>
        <v/>
      </c>
      <c r="G6" s="9">
        <f>'4.Pref.Teoritis'!G6 - '5.Pref.Nyata'!G6</f>
        <v/>
      </c>
      <c r="H6" s="9">
        <f>'4.Pref.Teoritis'!H6 - '5.Pref.Nyata'!H6</f>
        <v/>
      </c>
      <c r="I6" s="9">
        <f>'4.Pref.Teoritis'!I6 - '5.Pref.Nyata'!I6</f>
        <v/>
      </c>
      <c r="J6" s="9">
        <f>'4.Pref.Teoritis'!J6 - '5.Pref.Nyata'!J6</f>
        <v/>
      </c>
      <c r="K6" s="9">
        <f>'4.Pref.Teoritis'!K6 - '5.Pref.Nyata'!K6</f>
        <v/>
      </c>
      <c r="L6" s="9">
        <f>'4.Pref.Teoritis'!L6 - '5.Pref.Nyata'!L6</f>
        <v/>
      </c>
      <c r="M6" s="9">
        <f>'4.Pref.Teoritis'!M6 - '5.Pref.Nyata'!M6</f>
        <v/>
      </c>
      <c r="N6" s="12">
        <f>SUM(B6:M6)</f>
        <v/>
      </c>
      <c r="O6" s="2">
        <f>RANK(N6, N$5:N$24, 1)</f>
        <v/>
      </c>
    </row>
    <row r="7" ht="22" customHeight="1">
      <c r="A7" s="2" t="inlineStr">
        <is>
          <t>A03</t>
        </is>
      </c>
      <c r="B7" s="9">
        <f>'4.Pref.Teoritis'!B7 - '5.Pref.Nyata'!B7</f>
        <v/>
      </c>
      <c r="C7" s="9">
        <f>'4.Pref.Teoritis'!C7 - '5.Pref.Nyata'!C7</f>
        <v/>
      </c>
      <c r="D7" s="9">
        <f>'4.Pref.Teoritis'!D7 - '5.Pref.Nyata'!D7</f>
        <v/>
      </c>
      <c r="E7" s="9">
        <f>'4.Pref.Teoritis'!E7 - '5.Pref.Nyata'!E7</f>
        <v/>
      </c>
      <c r="F7" s="9">
        <f>'4.Pref.Teoritis'!F7 - '5.Pref.Nyata'!F7</f>
        <v/>
      </c>
      <c r="G7" s="9">
        <f>'4.Pref.Teoritis'!G7 - '5.Pref.Nyata'!G7</f>
        <v/>
      </c>
      <c r="H7" s="9">
        <f>'4.Pref.Teoritis'!H7 - '5.Pref.Nyata'!H7</f>
        <v/>
      </c>
      <c r="I7" s="9">
        <f>'4.Pref.Teoritis'!I7 - '5.Pref.Nyata'!I7</f>
        <v/>
      </c>
      <c r="J7" s="9">
        <f>'4.Pref.Teoritis'!J7 - '5.Pref.Nyata'!J7</f>
        <v/>
      </c>
      <c r="K7" s="9">
        <f>'4.Pref.Teoritis'!K7 - '5.Pref.Nyata'!K7</f>
        <v/>
      </c>
      <c r="L7" s="9">
        <f>'4.Pref.Teoritis'!L7 - '5.Pref.Nyata'!L7</f>
        <v/>
      </c>
      <c r="M7" s="9">
        <f>'4.Pref.Teoritis'!M7 - '5.Pref.Nyata'!M7</f>
        <v/>
      </c>
      <c r="N7" s="12">
        <f>SUM(B7:M7)</f>
        <v/>
      </c>
      <c r="O7" s="2">
        <f>RANK(N7, N$5:N$24, 1)</f>
        <v/>
      </c>
    </row>
    <row r="8" ht="22" customHeight="1">
      <c r="A8" s="2" t="inlineStr">
        <is>
          <t>A04</t>
        </is>
      </c>
      <c r="B8" s="9">
        <f>'4.Pref.Teoritis'!B8 - '5.Pref.Nyata'!B8</f>
        <v/>
      </c>
      <c r="C8" s="9">
        <f>'4.Pref.Teoritis'!C8 - '5.Pref.Nyata'!C8</f>
        <v/>
      </c>
      <c r="D8" s="9">
        <f>'4.Pref.Teoritis'!D8 - '5.Pref.Nyata'!D8</f>
        <v/>
      </c>
      <c r="E8" s="9">
        <f>'4.Pref.Teoritis'!E8 - '5.Pref.Nyata'!E8</f>
        <v/>
      </c>
      <c r="F8" s="9">
        <f>'4.Pref.Teoritis'!F8 - '5.Pref.Nyata'!F8</f>
        <v/>
      </c>
      <c r="G8" s="9">
        <f>'4.Pref.Teoritis'!G8 - '5.Pref.Nyata'!G8</f>
        <v/>
      </c>
      <c r="H8" s="9">
        <f>'4.Pref.Teoritis'!H8 - '5.Pref.Nyata'!H8</f>
        <v/>
      </c>
      <c r="I8" s="9">
        <f>'4.Pref.Teoritis'!I8 - '5.Pref.Nyata'!I8</f>
        <v/>
      </c>
      <c r="J8" s="9">
        <f>'4.Pref.Teoritis'!J8 - '5.Pref.Nyata'!J8</f>
        <v/>
      </c>
      <c r="K8" s="9">
        <f>'4.Pref.Teoritis'!K8 - '5.Pref.Nyata'!K8</f>
        <v/>
      </c>
      <c r="L8" s="9">
        <f>'4.Pref.Teoritis'!L8 - '5.Pref.Nyata'!L8</f>
        <v/>
      </c>
      <c r="M8" s="9">
        <f>'4.Pref.Teoritis'!M8 - '5.Pref.Nyata'!M8</f>
        <v/>
      </c>
      <c r="N8" s="12">
        <f>SUM(B8:M8)</f>
        <v/>
      </c>
      <c r="O8" s="2">
        <f>RANK(N8, N$5:N$24, 1)</f>
        <v/>
      </c>
    </row>
    <row r="9" ht="22" customHeight="1">
      <c r="A9" s="2" t="inlineStr">
        <is>
          <t>A05</t>
        </is>
      </c>
      <c r="B9" s="9">
        <f>'4.Pref.Teoritis'!B9 - '5.Pref.Nyata'!B9</f>
        <v/>
      </c>
      <c r="C9" s="9">
        <f>'4.Pref.Teoritis'!C9 - '5.Pref.Nyata'!C9</f>
        <v/>
      </c>
      <c r="D9" s="9">
        <f>'4.Pref.Teoritis'!D9 - '5.Pref.Nyata'!D9</f>
        <v/>
      </c>
      <c r="E9" s="9">
        <f>'4.Pref.Teoritis'!E9 - '5.Pref.Nyata'!E9</f>
        <v/>
      </c>
      <c r="F9" s="9">
        <f>'4.Pref.Teoritis'!F9 - '5.Pref.Nyata'!F9</f>
        <v/>
      </c>
      <c r="G9" s="9">
        <f>'4.Pref.Teoritis'!G9 - '5.Pref.Nyata'!G9</f>
        <v/>
      </c>
      <c r="H9" s="9">
        <f>'4.Pref.Teoritis'!H9 - '5.Pref.Nyata'!H9</f>
        <v/>
      </c>
      <c r="I9" s="9">
        <f>'4.Pref.Teoritis'!I9 - '5.Pref.Nyata'!I9</f>
        <v/>
      </c>
      <c r="J9" s="9">
        <f>'4.Pref.Teoritis'!J9 - '5.Pref.Nyata'!J9</f>
        <v/>
      </c>
      <c r="K9" s="9">
        <f>'4.Pref.Teoritis'!K9 - '5.Pref.Nyata'!K9</f>
        <v/>
      </c>
      <c r="L9" s="9">
        <f>'4.Pref.Teoritis'!L9 - '5.Pref.Nyata'!L9</f>
        <v/>
      </c>
      <c r="M9" s="9">
        <f>'4.Pref.Teoritis'!M9 - '5.Pref.Nyata'!M9</f>
        <v/>
      </c>
      <c r="N9" s="12">
        <f>SUM(B9:M9)</f>
        <v/>
      </c>
      <c r="O9" s="2">
        <f>RANK(N9, N$5:N$24, 1)</f>
        <v/>
      </c>
    </row>
    <row r="10" ht="22" customHeight="1">
      <c r="A10" s="2" t="inlineStr">
        <is>
          <t>A06</t>
        </is>
      </c>
      <c r="B10" s="9">
        <f>'4.Pref.Teoritis'!B10 - '5.Pref.Nyata'!B10</f>
        <v/>
      </c>
      <c r="C10" s="9">
        <f>'4.Pref.Teoritis'!C10 - '5.Pref.Nyata'!C10</f>
        <v/>
      </c>
      <c r="D10" s="9">
        <f>'4.Pref.Teoritis'!D10 - '5.Pref.Nyata'!D10</f>
        <v/>
      </c>
      <c r="E10" s="9">
        <f>'4.Pref.Teoritis'!E10 - '5.Pref.Nyata'!E10</f>
        <v/>
      </c>
      <c r="F10" s="9">
        <f>'4.Pref.Teoritis'!F10 - '5.Pref.Nyata'!F10</f>
        <v/>
      </c>
      <c r="G10" s="9">
        <f>'4.Pref.Teoritis'!G10 - '5.Pref.Nyata'!G10</f>
        <v/>
      </c>
      <c r="H10" s="9">
        <f>'4.Pref.Teoritis'!H10 - '5.Pref.Nyata'!H10</f>
        <v/>
      </c>
      <c r="I10" s="9">
        <f>'4.Pref.Teoritis'!I10 - '5.Pref.Nyata'!I10</f>
        <v/>
      </c>
      <c r="J10" s="9">
        <f>'4.Pref.Teoritis'!J10 - '5.Pref.Nyata'!J10</f>
        <v/>
      </c>
      <c r="K10" s="9">
        <f>'4.Pref.Teoritis'!K10 - '5.Pref.Nyata'!K10</f>
        <v/>
      </c>
      <c r="L10" s="9">
        <f>'4.Pref.Teoritis'!L10 - '5.Pref.Nyata'!L10</f>
        <v/>
      </c>
      <c r="M10" s="9">
        <f>'4.Pref.Teoritis'!M10 - '5.Pref.Nyata'!M10</f>
        <v/>
      </c>
      <c r="N10" s="12">
        <f>SUM(B10:M10)</f>
        <v/>
      </c>
      <c r="O10" s="2">
        <f>RANK(N10, N$5:N$24, 1)</f>
        <v/>
      </c>
    </row>
    <row r="11" ht="22" customHeight="1">
      <c r="A11" s="2" t="inlineStr">
        <is>
          <t>A07</t>
        </is>
      </c>
      <c r="B11" s="9">
        <f>'4.Pref.Teoritis'!B11 - '5.Pref.Nyata'!B11</f>
        <v/>
      </c>
      <c r="C11" s="9">
        <f>'4.Pref.Teoritis'!C11 - '5.Pref.Nyata'!C11</f>
        <v/>
      </c>
      <c r="D11" s="9">
        <f>'4.Pref.Teoritis'!D11 - '5.Pref.Nyata'!D11</f>
        <v/>
      </c>
      <c r="E11" s="9">
        <f>'4.Pref.Teoritis'!E11 - '5.Pref.Nyata'!E11</f>
        <v/>
      </c>
      <c r="F11" s="9">
        <f>'4.Pref.Teoritis'!F11 - '5.Pref.Nyata'!F11</f>
        <v/>
      </c>
      <c r="G11" s="9">
        <f>'4.Pref.Teoritis'!G11 - '5.Pref.Nyata'!G11</f>
        <v/>
      </c>
      <c r="H11" s="9">
        <f>'4.Pref.Teoritis'!H11 - '5.Pref.Nyata'!H11</f>
        <v/>
      </c>
      <c r="I11" s="9">
        <f>'4.Pref.Teoritis'!I11 - '5.Pref.Nyata'!I11</f>
        <v/>
      </c>
      <c r="J11" s="9">
        <f>'4.Pref.Teoritis'!J11 - '5.Pref.Nyata'!J11</f>
        <v/>
      </c>
      <c r="K11" s="9">
        <f>'4.Pref.Teoritis'!K11 - '5.Pref.Nyata'!K11</f>
        <v/>
      </c>
      <c r="L11" s="9">
        <f>'4.Pref.Teoritis'!L11 - '5.Pref.Nyata'!L11</f>
        <v/>
      </c>
      <c r="M11" s="9">
        <f>'4.Pref.Teoritis'!M11 - '5.Pref.Nyata'!M11</f>
        <v/>
      </c>
      <c r="N11" s="12">
        <f>SUM(B11:M11)</f>
        <v/>
      </c>
      <c r="O11" s="2">
        <f>RANK(N11, N$5:N$24, 1)</f>
        <v/>
      </c>
    </row>
    <row r="12" ht="22" customHeight="1">
      <c r="A12" s="2" t="inlineStr">
        <is>
          <t>A08</t>
        </is>
      </c>
      <c r="B12" s="9">
        <f>'4.Pref.Teoritis'!B12 - '5.Pref.Nyata'!B12</f>
        <v/>
      </c>
      <c r="C12" s="9">
        <f>'4.Pref.Teoritis'!C12 - '5.Pref.Nyata'!C12</f>
        <v/>
      </c>
      <c r="D12" s="9">
        <f>'4.Pref.Teoritis'!D12 - '5.Pref.Nyata'!D12</f>
        <v/>
      </c>
      <c r="E12" s="9">
        <f>'4.Pref.Teoritis'!E12 - '5.Pref.Nyata'!E12</f>
        <v/>
      </c>
      <c r="F12" s="9">
        <f>'4.Pref.Teoritis'!F12 - '5.Pref.Nyata'!F12</f>
        <v/>
      </c>
      <c r="G12" s="9">
        <f>'4.Pref.Teoritis'!G12 - '5.Pref.Nyata'!G12</f>
        <v/>
      </c>
      <c r="H12" s="9">
        <f>'4.Pref.Teoritis'!H12 - '5.Pref.Nyata'!H12</f>
        <v/>
      </c>
      <c r="I12" s="9">
        <f>'4.Pref.Teoritis'!I12 - '5.Pref.Nyata'!I12</f>
        <v/>
      </c>
      <c r="J12" s="9">
        <f>'4.Pref.Teoritis'!J12 - '5.Pref.Nyata'!J12</f>
        <v/>
      </c>
      <c r="K12" s="9">
        <f>'4.Pref.Teoritis'!K12 - '5.Pref.Nyata'!K12</f>
        <v/>
      </c>
      <c r="L12" s="9">
        <f>'4.Pref.Teoritis'!L12 - '5.Pref.Nyata'!L12</f>
        <v/>
      </c>
      <c r="M12" s="9">
        <f>'4.Pref.Teoritis'!M12 - '5.Pref.Nyata'!M12</f>
        <v/>
      </c>
      <c r="N12" s="12">
        <f>SUM(B12:M12)</f>
        <v/>
      </c>
      <c r="O12" s="2">
        <f>RANK(N12, N$5:N$24, 1)</f>
        <v/>
      </c>
    </row>
    <row r="13" ht="22" customHeight="1">
      <c r="A13" s="2" t="inlineStr">
        <is>
          <t>A09</t>
        </is>
      </c>
      <c r="B13" s="9">
        <f>'4.Pref.Teoritis'!B13 - '5.Pref.Nyata'!B13</f>
        <v/>
      </c>
      <c r="C13" s="9">
        <f>'4.Pref.Teoritis'!C13 - '5.Pref.Nyata'!C13</f>
        <v/>
      </c>
      <c r="D13" s="9">
        <f>'4.Pref.Teoritis'!D13 - '5.Pref.Nyata'!D13</f>
        <v/>
      </c>
      <c r="E13" s="9">
        <f>'4.Pref.Teoritis'!E13 - '5.Pref.Nyata'!E13</f>
        <v/>
      </c>
      <c r="F13" s="9">
        <f>'4.Pref.Teoritis'!F13 - '5.Pref.Nyata'!F13</f>
        <v/>
      </c>
      <c r="G13" s="9">
        <f>'4.Pref.Teoritis'!G13 - '5.Pref.Nyata'!G13</f>
        <v/>
      </c>
      <c r="H13" s="9">
        <f>'4.Pref.Teoritis'!H13 - '5.Pref.Nyata'!H13</f>
        <v/>
      </c>
      <c r="I13" s="9">
        <f>'4.Pref.Teoritis'!I13 - '5.Pref.Nyata'!I13</f>
        <v/>
      </c>
      <c r="J13" s="9">
        <f>'4.Pref.Teoritis'!J13 - '5.Pref.Nyata'!J13</f>
        <v/>
      </c>
      <c r="K13" s="9">
        <f>'4.Pref.Teoritis'!K13 - '5.Pref.Nyata'!K13</f>
        <v/>
      </c>
      <c r="L13" s="9">
        <f>'4.Pref.Teoritis'!L13 - '5.Pref.Nyata'!L13</f>
        <v/>
      </c>
      <c r="M13" s="9">
        <f>'4.Pref.Teoritis'!M13 - '5.Pref.Nyata'!M13</f>
        <v/>
      </c>
      <c r="N13" s="12">
        <f>SUM(B13:M13)</f>
        <v/>
      </c>
      <c r="O13" s="2">
        <f>RANK(N13, N$5:N$24, 1)</f>
        <v/>
      </c>
    </row>
    <row r="14" ht="22" customHeight="1">
      <c r="A14" s="2" t="inlineStr">
        <is>
          <t>A10</t>
        </is>
      </c>
      <c r="B14" s="9">
        <f>'4.Pref.Teoritis'!B14 - '5.Pref.Nyata'!B14</f>
        <v/>
      </c>
      <c r="C14" s="9">
        <f>'4.Pref.Teoritis'!C14 - '5.Pref.Nyata'!C14</f>
        <v/>
      </c>
      <c r="D14" s="9">
        <f>'4.Pref.Teoritis'!D14 - '5.Pref.Nyata'!D14</f>
        <v/>
      </c>
      <c r="E14" s="9">
        <f>'4.Pref.Teoritis'!E14 - '5.Pref.Nyata'!E14</f>
        <v/>
      </c>
      <c r="F14" s="9">
        <f>'4.Pref.Teoritis'!F14 - '5.Pref.Nyata'!F14</f>
        <v/>
      </c>
      <c r="G14" s="9">
        <f>'4.Pref.Teoritis'!G14 - '5.Pref.Nyata'!G14</f>
        <v/>
      </c>
      <c r="H14" s="9">
        <f>'4.Pref.Teoritis'!H14 - '5.Pref.Nyata'!H14</f>
        <v/>
      </c>
      <c r="I14" s="9">
        <f>'4.Pref.Teoritis'!I14 - '5.Pref.Nyata'!I14</f>
        <v/>
      </c>
      <c r="J14" s="9">
        <f>'4.Pref.Teoritis'!J14 - '5.Pref.Nyata'!J14</f>
        <v/>
      </c>
      <c r="K14" s="9">
        <f>'4.Pref.Teoritis'!K14 - '5.Pref.Nyata'!K14</f>
        <v/>
      </c>
      <c r="L14" s="9">
        <f>'4.Pref.Teoritis'!L14 - '5.Pref.Nyata'!L14</f>
        <v/>
      </c>
      <c r="M14" s="9">
        <f>'4.Pref.Teoritis'!M14 - '5.Pref.Nyata'!M14</f>
        <v/>
      </c>
      <c r="N14" s="12">
        <f>SUM(B14:M14)</f>
        <v/>
      </c>
      <c r="O14" s="2">
        <f>RANK(N14, N$5:N$24, 1)</f>
        <v/>
      </c>
    </row>
    <row r="15" ht="22" customHeight="1">
      <c r="A15" s="2" t="inlineStr">
        <is>
          <t>A11</t>
        </is>
      </c>
      <c r="B15" s="9">
        <f>'4.Pref.Teoritis'!B15 - '5.Pref.Nyata'!B15</f>
        <v/>
      </c>
      <c r="C15" s="9">
        <f>'4.Pref.Teoritis'!C15 - '5.Pref.Nyata'!C15</f>
        <v/>
      </c>
      <c r="D15" s="9">
        <f>'4.Pref.Teoritis'!D15 - '5.Pref.Nyata'!D15</f>
        <v/>
      </c>
      <c r="E15" s="9">
        <f>'4.Pref.Teoritis'!E15 - '5.Pref.Nyata'!E15</f>
        <v/>
      </c>
      <c r="F15" s="9">
        <f>'4.Pref.Teoritis'!F15 - '5.Pref.Nyata'!F15</f>
        <v/>
      </c>
      <c r="G15" s="9">
        <f>'4.Pref.Teoritis'!G15 - '5.Pref.Nyata'!G15</f>
        <v/>
      </c>
      <c r="H15" s="9">
        <f>'4.Pref.Teoritis'!H15 - '5.Pref.Nyata'!H15</f>
        <v/>
      </c>
      <c r="I15" s="9">
        <f>'4.Pref.Teoritis'!I15 - '5.Pref.Nyata'!I15</f>
        <v/>
      </c>
      <c r="J15" s="9">
        <f>'4.Pref.Teoritis'!J15 - '5.Pref.Nyata'!J15</f>
        <v/>
      </c>
      <c r="K15" s="9">
        <f>'4.Pref.Teoritis'!K15 - '5.Pref.Nyata'!K15</f>
        <v/>
      </c>
      <c r="L15" s="9">
        <f>'4.Pref.Teoritis'!L15 - '5.Pref.Nyata'!L15</f>
        <v/>
      </c>
      <c r="M15" s="9">
        <f>'4.Pref.Teoritis'!M15 - '5.Pref.Nyata'!M15</f>
        <v/>
      </c>
      <c r="N15" s="12">
        <f>SUM(B15:M15)</f>
        <v/>
      </c>
      <c r="O15" s="2">
        <f>RANK(N15, N$5:N$24, 1)</f>
        <v/>
      </c>
    </row>
    <row r="16" ht="22" customHeight="1">
      <c r="A16" s="2" t="inlineStr">
        <is>
          <t>A12</t>
        </is>
      </c>
      <c r="B16" s="9">
        <f>'4.Pref.Teoritis'!B16 - '5.Pref.Nyata'!B16</f>
        <v/>
      </c>
      <c r="C16" s="9">
        <f>'4.Pref.Teoritis'!C16 - '5.Pref.Nyata'!C16</f>
        <v/>
      </c>
      <c r="D16" s="9">
        <f>'4.Pref.Teoritis'!D16 - '5.Pref.Nyata'!D16</f>
        <v/>
      </c>
      <c r="E16" s="9">
        <f>'4.Pref.Teoritis'!E16 - '5.Pref.Nyata'!E16</f>
        <v/>
      </c>
      <c r="F16" s="9">
        <f>'4.Pref.Teoritis'!F16 - '5.Pref.Nyata'!F16</f>
        <v/>
      </c>
      <c r="G16" s="9">
        <f>'4.Pref.Teoritis'!G16 - '5.Pref.Nyata'!G16</f>
        <v/>
      </c>
      <c r="H16" s="9">
        <f>'4.Pref.Teoritis'!H16 - '5.Pref.Nyata'!H16</f>
        <v/>
      </c>
      <c r="I16" s="9">
        <f>'4.Pref.Teoritis'!I16 - '5.Pref.Nyata'!I16</f>
        <v/>
      </c>
      <c r="J16" s="9">
        <f>'4.Pref.Teoritis'!J16 - '5.Pref.Nyata'!J16</f>
        <v/>
      </c>
      <c r="K16" s="9">
        <f>'4.Pref.Teoritis'!K16 - '5.Pref.Nyata'!K16</f>
        <v/>
      </c>
      <c r="L16" s="9">
        <f>'4.Pref.Teoritis'!L16 - '5.Pref.Nyata'!L16</f>
        <v/>
      </c>
      <c r="M16" s="9">
        <f>'4.Pref.Teoritis'!M16 - '5.Pref.Nyata'!M16</f>
        <v/>
      </c>
      <c r="N16" s="12">
        <f>SUM(B16:M16)</f>
        <v/>
      </c>
      <c r="O16" s="2">
        <f>RANK(N16, N$5:N$24, 1)</f>
        <v/>
      </c>
    </row>
    <row r="17" ht="22" customHeight="1">
      <c r="A17" s="2" t="inlineStr">
        <is>
          <t>A13</t>
        </is>
      </c>
      <c r="B17" s="9">
        <f>'4.Pref.Teoritis'!B17 - '5.Pref.Nyata'!B17</f>
        <v/>
      </c>
      <c r="C17" s="9">
        <f>'4.Pref.Teoritis'!C17 - '5.Pref.Nyata'!C17</f>
        <v/>
      </c>
      <c r="D17" s="9">
        <f>'4.Pref.Teoritis'!D17 - '5.Pref.Nyata'!D17</f>
        <v/>
      </c>
      <c r="E17" s="9">
        <f>'4.Pref.Teoritis'!E17 - '5.Pref.Nyata'!E17</f>
        <v/>
      </c>
      <c r="F17" s="9">
        <f>'4.Pref.Teoritis'!F17 - '5.Pref.Nyata'!F17</f>
        <v/>
      </c>
      <c r="G17" s="9">
        <f>'4.Pref.Teoritis'!G17 - '5.Pref.Nyata'!G17</f>
        <v/>
      </c>
      <c r="H17" s="9">
        <f>'4.Pref.Teoritis'!H17 - '5.Pref.Nyata'!H17</f>
        <v/>
      </c>
      <c r="I17" s="9">
        <f>'4.Pref.Teoritis'!I17 - '5.Pref.Nyata'!I17</f>
        <v/>
      </c>
      <c r="J17" s="9">
        <f>'4.Pref.Teoritis'!J17 - '5.Pref.Nyata'!J17</f>
        <v/>
      </c>
      <c r="K17" s="9">
        <f>'4.Pref.Teoritis'!K17 - '5.Pref.Nyata'!K17</f>
        <v/>
      </c>
      <c r="L17" s="9">
        <f>'4.Pref.Teoritis'!L17 - '5.Pref.Nyata'!L17</f>
        <v/>
      </c>
      <c r="M17" s="9">
        <f>'4.Pref.Teoritis'!M17 - '5.Pref.Nyata'!M17</f>
        <v/>
      </c>
      <c r="N17" s="12">
        <f>SUM(B17:M17)</f>
        <v/>
      </c>
      <c r="O17" s="2">
        <f>RANK(N17, N$5:N$24, 1)</f>
        <v/>
      </c>
    </row>
    <row r="18" ht="22" customHeight="1">
      <c r="A18" s="2" t="inlineStr">
        <is>
          <t>A14</t>
        </is>
      </c>
      <c r="B18" s="9">
        <f>'4.Pref.Teoritis'!B18 - '5.Pref.Nyata'!B18</f>
        <v/>
      </c>
      <c r="C18" s="9">
        <f>'4.Pref.Teoritis'!C18 - '5.Pref.Nyata'!C18</f>
        <v/>
      </c>
      <c r="D18" s="9">
        <f>'4.Pref.Teoritis'!D18 - '5.Pref.Nyata'!D18</f>
        <v/>
      </c>
      <c r="E18" s="9">
        <f>'4.Pref.Teoritis'!E18 - '5.Pref.Nyata'!E18</f>
        <v/>
      </c>
      <c r="F18" s="9">
        <f>'4.Pref.Teoritis'!F18 - '5.Pref.Nyata'!F18</f>
        <v/>
      </c>
      <c r="G18" s="9">
        <f>'4.Pref.Teoritis'!G18 - '5.Pref.Nyata'!G18</f>
        <v/>
      </c>
      <c r="H18" s="9">
        <f>'4.Pref.Teoritis'!H18 - '5.Pref.Nyata'!H18</f>
        <v/>
      </c>
      <c r="I18" s="9">
        <f>'4.Pref.Teoritis'!I18 - '5.Pref.Nyata'!I18</f>
        <v/>
      </c>
      <c r="J18" s="9">
        <f>'4.Pref.Teoritis'!J18 - '5.Pref.Nyata'!J18</f>
        <v/>
      </c>
      <c r="K18" s="9">
        <f>'4.Pref.Teoritis'!K18 - '5.Pref.Nyata'!K18</f>
        <v/>
      </c>
      <c r="L18" s="9">
        <f>'4.Pref.Teoritis'!L18 - '5.Pref.Nyata'!L18</f>
        <v/>
      </c>
      <c r="M18" s="9">
        <f>'4.Pref.Teoritis'!M18 - '5.Pref.Nyata'!M18</f>
        <v/>
      </c>
      <c r="N18" s="12">
        <f>SUM(B18:M18)</f>
        <v/>
      </c>
      <c r="O18" s="2">
        <f>RANK(N18, N$5:N$24, 1)</f>
        <v/>
      </c>
    </row>
    <row r="19" ht="22" customHeight="1">
      <c r="A19" s="2" t="inlineStr">
        <is>
          <t>A15</t>
        </is>
      </c>
      <c r="B19" s="9">
        <f>'4.Pref.Teoritis'!B19 - '5.Pref.Nyata'!B19</f>
        <v/>
      </c>
      <c r="C19" s="9">
        <f>'4.Pref.Teoritis'!C19 - '5.Pref.Nyata'!C19</f>
        <v/>
      </c>
      <c r="D19" s="9">
        <f>'4.Pref.Teoritis'!D19 - '5.Pref.Nyata'!D19</f>
        <v/>
      </c>
      <c r="E19" s="9">
        <f>'4.Pref.Teoritis'!E19 - '5.Pref.Nyata'!E19</f>
        <v/>
      </c>
      <c r="F19" s="9">
        <f>'4.Pref.Teoritis'!F19 - '5.Pref.Nyata'!F19</f>
        <v/>
      </c>
      <c r="G19" s="9">
        <f>'4.Pref.Teoritis'!G19 - '5.Pref.Nyata'!G19</f>
        <v/>
      </c>
      <c r="H19" s="9">
        <f>'4.Pref.Teoritis'!H19 - '5.Pref.Nyata'!H19</f>
        <v/>
      </c>
      <c r="I19" s="9">
        <f>'4.Pref.Teoritis'!I19 - '5.Pref.Nyata'!I19</f>
        <v/>
      </c>
      <c r="J19" s="9">
        <f>'4.Pref.Teoritis'!J19 - '5.Pref.Nyata'!J19</f>
        <v/>
      </c>
      <c r="K19" s="9">
        <f>'4.Pref.Teoritis'!K19 - '5.Pref.Nyata'!K19</f>
        <v/>
      </c>
      <c r="L19" s="9">
        <f>'4.Pref.Teoritis'!L19 - '5.Pref.Nyata'!L19</f>
        <v/>
      </c>
      <c r="M19" s="9">
        <f>'4.Pref.Teoritis'!M19 - '5.Pref.Nyata'!M19</f>
        <v/>
      </c>
      <c r="N19" s="12">
        <f>SUM(B19:M19)</f>
        <v/>
      </c>
      <c r="O19" s="2">
        <f>RANK(N19, N$5:N$24, 1)</f>
        <v/>
      </c>
    </row>
    <row r="20" ht="22" customHeight="1">
      <c r="A20" s="2" t="inlineStr">
        <is>
          <t>A16</t>
        </is>
      </c>
      <c r="B20" s="9">
        <f>'4.Pref.Teoritis'!B20 - '5.Pref.Nyata'!B20</f>
        <v/>
      </c>
      <c r="C20" s="9">
        <f>'4.Pref.Teoritis'!C20 - '5.Pref.Nyata'!C20</f>
        <v/>
      </c>
      <c r="D20" s="9">
        <f>'4.Pref.Teoritis'!D20 - '5.Pref.Nyata'!D20</f>
        <v/>
      </c>
      <c r="E20" s="9">
        <f>'4.Pref.Teoritis'!E20 - '5.Pref.Nyata'!E20</f>
        <v/>
      </c>
      <c r="F20" s="9">
        <f>'4.Pref.Teoritis'!F20 - '5.Pref.Nyata'!F20</f>
        <v/>
      </c>
      <c r="G20" s="9">
        <f>'4.Pref.Teoritis'!G20 - '5.Pref.Nyata'!G20</f>
        <v/>
      </c>
      <c r="H20" s="9">
        <f>'4.Pref.Teoritis'!H20 - '5.Pref.Nyata'!H20</f>
        <v/>
      </c>
      <c r="I20" s="9">
        <f>'4.Pref.Teoritis'!I20 - '5.Pref.Nyata'!I20</f>
        <v/>
      </c>
      <c r="J20" s="9">
        <f>'4.Pref.Teoritis'!J20 - '5.Pref.Nyata'!J20</f>
        <v/>
      </c>
      <c r="K20" s="9">
        <f>'4.Pref.Teoritis'!K20 - '5.Pref.Nyata'!K20</f>
        <v/>
      </c>
      <c r="L20" s="9">
        <f>'4.Pref.Teoritis'!L20 - '5.Pref.Nyata'!L20</f>
        <v/>
      </c>
      <c r="M20" s="9">
        <f>'4.Pref.Teoritis'!M20 - '5.Pref.Nyata'!M20</f>
        <v/>
      </c>
      <c r="N20" s="12">
        <f>SUM(B20:M20)</f>
        <v/>
      </c>
      <c r="O20" s="2">
        <f>RANK(N20, N$5:N$24, 1)</f>
        <v/>
      </c>
    </row>
    <row r="21" ht="22" customHeight="1">
      <c r="A21" s="2" t="inlineStr">
        <is>
          <t>A17</t>
        </is>
      </c>
      <c r="B21" s="9">
        <f>'4.Pref.Teoritis'!B21 - '5.Pref.Nyata'!B21</f>
        <v/>
      </c>
      <c r="C21" s="9">
        <f>'4.Pref.Teoritis'!C21 - '5.Pref.Nyata'!C21</f>
        <v/>
      </c>
      <c r="D21" s="9">
        <f>'4.Pref.Teoritis'!D21 - '5.Pref.Nyata'!D21</f>
        <v/>
      </c>
      <c r="E21" s="9">
        <f>'4.Pref.Teoritis'!E21 - '5.Pref.Nyata'!E21</f>
        <v/>
      </c>
      <c r="F21" s="9">
        <f>'4.Pref.Teoritis'!F21 - '5.Pref.Nyata'!F21</f>
        <v/>
      </c>
      <c r="G21" s="9">
        <f>'4.Pref.Teoritis'!G21 - '5.Pref.Nyata'!G21</f>
        <v/>
      </c>
      <c r="H21" s="9">
        <f>'4.Pref.Teoritis'!H21 - '5.Pref.Nyata'!H21</f>
        <v/>
      </c>
      <c r="I21" s="9">
        <f>'4.Pref.Teoritis'!I21 - '5.Pref.Nyata'!I21</f>
        <v/>
      </c>
      <c r="J21" s="9">
        <f>'4.Pref.Teoritis'!J21 - '5.Pref.Nyata'!J21</f>
        <v/>
      </c>
      <c r="K21" s="9">
        <f>'4.Pref.Teoritis'!K21 - '5.Pref.Nyata'!K21</f>
        <v/>
      </c>
      <c r="L21" s="9">
        <f>'4.Pref.Teoritis'!L21 - '5.Pref.Nyata'!L21</f>
        <v/>
      </c>
      <c r="M21" s="9">
        <f>'4.Pref.Teoritis'!M21 - '5.Pref.Nyata'!M21</f>
        <v/>
      </c>
      <c r="N21" s="12">
        <f>SUM(B21:M21)</f>
        <v/>
      </c>
      <c r="O21" s="2">
        <f>RANK(N21, N$5:N$24, 1)</f>
        <v/>
      </c>
    </row>
    <row r="22" ht="22" customHeight="1">
      <c r="A22" s="2" t="inlineStr">
        <is>
          <t>A18</t>
        </is>
      </c>
      <c r="B22" s="9">
        <f>'4.Pref.Teoritis'!B22 - '5.Pref.Nyata'!B22</f>
        <v/>
      </c>
      <c r="C22" s="9">
        <f>'4.Pref.Teoritis'!C22 - '5.Pref.Nyata'!C22</f>
        <v/>
      </c>
      <c r="D22" s="9">
        <f>'4.Pref.Teoritis'!D22 - '5.Pref.Nyata'!D22</f>
        <v/>
      </c>
      <c r="E22" s="9">
        <f>'4.Pref.Teoritis'!E22 - '5.Pref.Nyata'!E22</f>
        <v/>
      </c>
      <c r="F22" s="9">
        <f>'4.Pref.Teoritis'!F22 - '5.Pref.Nyata'!F22</f>
        <v/>
      </c>
      <c r="G22" s="9">
        <f>'4.Pref.Teoritis'!G22 - '5.Pref.Nyata'!G22</f>
        <v/>
      </c>
      <c r="H22" s="9">
        <f>'4.Pref.Teoritis'!H22 - '5.Pref.Nyata'!H22</f>
        <v/>
      </c>
      <c r="I22" s="9">
        <f>'4.Pref.Teoritis'!I22 - '5.Pref.Nyata'!I22</f>
        <v/>
      </c>
      <c r="J22" s="9">
        <f>'4.Pref.Teoritis'!J22 - '5.Pref.Nyata'!J22</f>
        <v/>
      </c>
      <c r="K22" s="9">
        <f>'4.Pref.Teoritis'!K22 - '5.Pref.Nyata'!K22</f>
        <v/>
      </c>
      <c r="L22" s="9">
        <f>'4.Pref.Teoritis'!L22 - '5.Pref.Nyata'!L22</f>
        <v/>
      </c>
      <c r="M22" s="9">
        <f>'4.Pref.Teoritis'!M22 - '5.Pref.Nyata'!M22</f>
        <v/>
      </c>
      <c r="N22" s="12">
        <f>SUM(B22:M22)</f>
        <v/>
      </c>
      <c r="O22" s="2">
        <f>RANK(N22, N$5:N$24, 1)</f>
        <v/>
      </c>
    </row>
    <row r="23" ht="22" customHeight="1">
      <c r="A23" s="2" t="inlineStr">
        <is>
          <t>A19</t>
        </is>
      </c>
      <c r="B23" s="9">
        <f>'4.Pref.Teoritis'!B23 - '5.Pref.Nyata'!B23</f>
        <v/>
      </c>
      <c r="C23" s="9">
        <f>'4.Pref.Teoritis'!C23 - '5.Pref.Nyata'!C23</f>
        <v/>
      </c>
      <c r="D23" s="9">
        <f>'4.Pref.Teoritis'!D23 - '5.Pref.Nyata'!D23</f>
        <v/>
      </c>
      <c r="E23" s="9">
        <f>'4.Pref.Teoritis'!E23 - '5.Pref.Nyata'!E23</f>
        <v/>
      </c>
      <c r="F23" s="9">
        <f>'4.Pref.Teoritis'!F23 - '5.Pref.Nyata'!F23</f>
        <v/>
      </c>
      <c r="G23" s="9">
        <f>'4.Pref.Teoritis'!G23 - '5.Pref.Nyata'!G23</f>
        <v/>
      </c>
      <c r="H23" s="9">
        <f>'4.Pref.Teoritis'!H23 - '5.Pref.Nyata'!H23</f>
        <v/>
      </c>
      <c r="I23" s="9">
        <f>'4.Pref.Teoritis'!I23 - '5.Pref.Nyata'!I23</f>
        <v/>
      </c>
      <c r="J23" s="9">
        <f>'4.Pref.Teoritis'!J23 - '5.Pref.Nyata'!J23</f>
        <v/>
      </c>
      <c r="K23" s="9">
        <f>'4.Pref.Teoritis'!K23 - '5.Pref.Nyata'!K23</f>
        <v/>
      </c>
      <c r="L23" s="9">
        <f>'4.Pref.Teoritis'!L23 - '5.Pref.Nyata'!L23</f>
        <v/>
      </c>
      <c r="M23" s="9">
        <f>'4.Pref.Teoritis'!M23 - '5.Pref.Nyata'!M23</f>
        <v/>
      </c>
      <c r="N23" s="12">
        <f>SUM(B23:M23)</f>
        <v/>
      </c>
      <c r="O23" s="2">
        <f>RANK(N23, N$5:N$24, 1)</f>
        <v/>
      </c>
    </row>
    <row r="24" ht="22" customHeight="1">
      <c r="A24" s="2" t="inlineStr">
        <is>
          <t>A20</t>
        </is>
      </c>
      <c r="B24" s="9">
        <f>'4.Pref.Teoritis'!B24 - '5.Pref.Nyata'!B24</f>
        <v/>
      </c>
      <c r="C24" s="9">
        <f>'4.Pref.Teoritis'!C24 - '5.Pref.Nyata'!C24</f>
        <v/>
      </c>
      <c r="D24" s="9">
        <f>'4.Pref.Teoritis'!D24 - '5.Pref.Nyata'!D24</f>
        <v/>
      </c>
      <c r="E24" s="9">
        <f>'4.Pref.Teoritis'!E24 - '5.Pref.Nyata'!E24</f>
        <v/>
      </c>
      <c r="F24" s="9">
        <f>'4.Pref.Teoritis'!F24 - '5.Pref.Nyata'!F24</f>
        <v/>
      </c>
      <c r="G24" s="9">
        <f>'4.Pref.Teoritis'!G24 - '5.Pref.Nyata'!G24</f>
        <v/>
      </c>
      <c r="H24" s="9">
        <f>'4.Pref.Teoritis'!H24 - '5.Pref.Nyata'!H24</f>
        <v/>
      </c>
      <c r="I24" s="9">
        <f>'4.Pref.Teoritis'!I24 - '5.Pref.Nyata'!I24</f>
        <v/>
      </c>
      <c r="J24" s="9">
        <f>'4.Pref.Teoritis'!J24 - '5.Pref.Nyata'!J24</f>
        <v/>
      </c>
      <c r="K24" s="9">
        <f>'4.Pref.Teoritis'!K24 - '5.Pref.Nyata'!K24</f>
        <v/>
      </c>
      <c r="L24" s="9">
        <f>'4.Pref.Teoritis'!L24 - '5.Pref.Nyata'!L24</f>
        <v/>
      </c>
      <c r="M24" s="9">
        <f>'4.Pref.Teoritis'!M24 - '5.Pref.Nyata'!M24</f>
        <v/>
      </c>
      <c r="N24" s="12">
        <f>SUM(B24:M24)</f>
        <v/>
      </c>
      <c r="O24" s="2">
        <f>RANK(N24, N$5:N$24, 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10" t="inlineStr">
        <is>
          <t>HASIL AKHIR PERANGKINGAN — METODE SWARA + MAIRCA</t>
        </is>
      </c>
    </row>
    <row r="2">
      <c r="A2" s="11" t="inlineStr">
        <is>
          <t>Catatan: Nilai Qi terkecil = alternatif terbaik (Peringkat 1)</t>
        </is>
      </c>
    </row>
    <row r="3"/>
    <row r="4" ht="28" customHeight="1">
      <c r="A4" s="1" t="inlineStr">
        <is>
          <t>No</t>
        </is>
      </c>
      <c r="B4" s="1" t="inlineStr">
        <is>
          <t>Alternatif</t>
        </is>
      </c>
      <c r="C4" s="1" t="inlineStr">
        <is>
          <t>Nilai Qi</t>
        </is>
      </c>
      <c r="D4" s="1" t="inlineStr">
        <is>
          <t>Rank</t>
        </is>
      </c>
      <c r="E4" s="1" t="inlineStr">
        <is>
          <t>Keterangan</t>
        </is>
      </c>
    </row>
    <row r="5" ht="22" customHeight="1">
      <c r="A5" s="13" t="n">
        <v>1</v>
      </c>
      <c r="B5" s="13">
        <f>INDEX('6.Gap'!$A$5:$A$24, MATCH(C5, '6.Gap'!$N$5:$N$24, 0))</f>
        <v/>
      </c>
      <c r="C5" s="14">
        <f>SMALL('6.Gap'!$N$5:$N$24, A5)</f>
        <v/>
      </c>
      <c r="D5" s="13">
        <f>INDEX('6.Gap'!$O$5:$O$24, MATCH(C5, '6.Gap'!$N$5:$N$24, 0))</f>
        <v/>
      </c>
      <c r="E5" s="15">
        <f>IF(D5=1, "★ Peringkat 1 – Sangat Direkomendasikan", IF(D5&lt;=5, "Sangat Direkomendasikan", IF(D5&lt;=10, "Direkomendasikan", "Pertimbangkan")))</f>
        <v/>
      </c>
    </row>
    <row r="6" ht="22" customHeight="1">
      <c r="A6" s="2" t="n">
        <v>2</v>
      </c>
      <c r="B6" s="2">
        <f>INDEX('6.Gap'!$A$5:$A$24, MATCH(C6, '6.Gap'!$N$5:$N$24, 0))</f>
        <v/>
      </c>
      <c r="C6" s="9">
        <f>SMALL('6.Gap'!$N$5:$N$24, A6)</f>
        <v/>
      </c>
      <c r="D6" s="6">
        <f>INDEX('6.Gap'!$O$5:$O$24, MATCH(C6, '6.Gap'!$N$5:$N$24, 0))</f>
        <v/>
      </c>
      <c r="E6" s="7">
        <f>IF(D6=1, "★ Peringkat 1 – Sangat Direkomendasikan", IF(D6&lt;=5, "Sangat Direkomendasikan", IF(D6&lt;=10, "Direkomendasikan", "Pertimbangkan")))</f>
        <v/>
      </c>
    </row>
    <row r="7" ht="22" customHeight="1">
      <c r="A7" s="2" t="n">
        <v>3</v>
      </c>
      <c r="B7" s="2">
        <f>INDEX('6.Gap'!$A$5:$A$24, MATCH(C7, '6.Gap'!$N$5:$N$24, 0))</f>
        <v/>
      </c>
      <c r="C7" s="9">
        <f>SMALL('6.Gap'!$N$5:$N$24, A7)</f>
        <v/>
      </c>
      <c r="D7" s="6">
        <f>INDEX('6.Gap'!$O$5:$O$24, MATCH(C7, '6.Gap'!$N$5:$N$24, 0))</f>
        <v/>
      </c>
      <c r="E7" s="7">
        <f>IF(D7=1, "★ Peringkat 1 – Sangat Direkomendasikan", IF(D7&lt;=5, "Sangat Direkomendasikan", IF(D7&lt;=10, "Direkomendasikan", "Pertimbangkan")))</f>
        <v/>
      </c>
    </row>
    <row r="8" ht="22" customHeight="1">
      <c r="A8" s="2" t="n">
        <v>4</v>
      </c>
      <c r="B8" s="2">
        <f>INDEX('6.Gap'!$A$5:$A$24, MATCH(C8, '6.Gap'!$N$5:$N$24, 0))</f>
        <v/>
      </c>
      <c r="C8" s="9">
        <f>SMALL('6.Gap'!$N$5:$N$24, A8)</f>
        <v/>
      </c>
      <c r="D8" s="6">
        <f>INDEX('6.Gap'!$O$5:$O$24, MATCH(C8, '6.Gap'!$N$5:$N$24, 0))</f>
        <v/>
      </c>
      <c r="E8" s="7">
        <f>IF(D8=1, "★ Peringkat 1 – Sangat Direkomendasikan", IF(D8&lt;=5, "Sangat Direkomendasikan", IF(D8&lt;=10, "Direkomendasikan", "Pertimbangkan")))</f>
        <v/>
      </c>
    </row>
    <row r="9" ht="22" customHeight="1">
      <c r="A9" s="2" t="n">
        <v>5</v>
      </c>
      <c r="B9" s="2">
        <f>INDEX('6.Gap'!$A$5:$A$24, MATCH(C9, '6.Gap'!$N$5:$N$24, 0))</f>
        <v/>
      </c>
      <c r="C9" s="9">
        <f>SMALL('6.Gap'!$N$5:$N$24, A9)</f>
        <v/>
      </c>
      <c r="D9" s="6">
        <f>INDEX('6.Gap'!$O$5:$O$24, MATCH(C9, '6.Gap'!$N$5:$N$24, 0))</f>
        <v/>
      </c>
      <c r="E9" s="7">
        <f>IF(D9=1, "★ Peringkat 1 – Sangat Direkomendasikan", IF(D9&lt;=5, "Sangat Direkomendasikan", IF(D9&lt;=10, "Direkomendasikan", "Pertimbangkan")))</f>
        <v/>
      </c>
    </row>
    <row r="10" ht="22" customHeight="1">
      <c r="A10" s="2" t="n">
        <v>6</v>
      </c>
      <c r="B10" s="2">
        <f>INDEX('6.Gap'!$A$5:$A$24, MATCH(C10, '6.Gap'!$N$5:$N$24, 0))</f>
        <v/>
      </c>
      <c r="C10" s="9">
        <f>SMALL('6.Gap'!$N$5:$N$24, A10)</f>
        <v/>
      </c>
      <c r="D10" s="6">
        <f>INDEX('6.Gap'!$O$5:$O$24, MATCH(C10, '6.Gap'!$N$5:$N$24, 0))</f>
        <v/>
      </c>
      <c r="E10" s="7">
        <f>IF(D10=1, "★ Peringkat 1 – Sangat Direkomendasikan", IF(D10&lt;=5, "Sangat Direkomendasikan", IF(D10&lt;=10, "Direkomendasikan", "Pertimbangkan")))</f>
        <v/>
      </c>
    </row>
    <row r="11" ht="22" customHeight="1">
      <c r="A11" s="2" t="n">
        <v>7</v>
      </c>
      <c r="B11" s="2">
        <f>INDEX('6.Gap'!$A$5:$A$24, MATCH(C11, '6.Gap'!$N$5:$N$24, 0))</f>
        <v/>
      </c>
      <c r="C11" s="9">
        <f>SMALL('6.Gap'!$N$5:$N$24, A11)</f>
        <v/>
      </c>
      <c r="D11" s="6">
        <f>INDEX('6.Gap'!$O$5:$O$24, MATCH(C11, '6.Gap'!$N$5:$N$24, 0))</f>
        <v/>
      </c>
      <c r="E11" s="7">
        <f>IF(D11=1, "★ Peringkat 1 – Sangat Direkomendasikan", IF(D11&lt;=5, "Sangat Direkomendasikan", IF(D11&lt;=10, "Direkomendasikan", "Pertimbangkan")))</f>
        <v/>
      </c>
    </row>
    <row r="12" ht="22" customHeight="1">
      <c r="A12" s="2" t="n">
        <v>8</v>
      </c>
      <c r="B12" s="2">
        <f>INDEX('6.Gap'!$A$5:$A$24, MATCH(C12, '6.Gap'!$N$5:$N$24, 0))</f>
        <v/>
      </c>
      <c r="C12" s="9">
        <f>SMALL('6.Gap'!$N$5:$N$24, A12)</f>
        <v/>
      </c>
      <c r="D12" s="6">
        <f>INDEX('6.Gap'!$O$5:$O$24, MATCH(C12, '6.Gap'!$N$5:$N$24, 0))</f>
        <v/>
      </c>
      <c r="E12" s="7">
        <f>IF(D12=1, "★ Peringkat 1 – Sangat Direkomendasikan", IF(D12&lt;=5, "Sangat Direkomendasikan", IF(D12&lt;=10, "Direkomendasikan", "Pertimbangkan")))</f>
        <v/>
      </c>
    </row>
    <row r="13" ht="22" customHeight="1">
      <c r="A13" s="2" t="n">
        <v>9</v>
      </c>
      <c r="B13" s="2">
        <f>INDEX('6.Gap'!$A$5:$A$24, MATCH(C13, '6.Gap'!$N$5:$N$24, 0))</f>
        <v/>
      </c>
      <c r="C13" s="9">
        <f>SMALL('6.Gap'!$N$5:$N$24, A13)</f>
        <v/>
      </c>
      <c r="D13" s="6">
        <f>INDEX('6.Gap'!$O$5:$O$24, MATCH(C13, '6.Gap'!$N$5:$N$24, 0))</f>
        <v/>
      </c>
      <c r="E13" s="7">
        <f>IF(D13=1, "★ Peringkat 1 – Sangat Direkomendasikan", IF(D13&lt;=5, "Sangat Direkomendasikan", IF(D13&lt;=10, "Direkomendasikan", "Pertimbangkan")))</f>
        <v/>
      </c>
    </row>
    <row r="14" ht="22" customHeight="1">
      <c r="A14" s="2" t="n">
        <v>10</v>
      </c>
      <c r="B14" s="2">
        <f>INDEX('6.Gap'!$A$5:$A$24, MATCH(C14, '6.Gap'!$N$5:$N$24, 0))</f>
        <v/>
      </c>
      <c r="C14" s="9">
        <f>SMALL('6.Gap'!$N$5:$N$24, A14)</f>
        <v/>
      </c>
      <c r="D14" s="6">
        <f>INDEX('6.Gap'!$O$5:$O$24, MATCH(C14, '6.Gap'!$N$5:$N$24, 0))</f>
        <v/>
      </c>
      <c r="E14" s="7">
        <f>IF(D14=1, "★ Peringkat 1 – Sangat Direkomendasikan", IF(D14&lt;=5, "Sangat Direkomendasikan", IF(D14&lt;=10, "Direkomendasikan", "Pertimbangkan")))</f>
        <v/>
      </c>
    </row>
    <row r="15" ht="22" customHeight="1">
      <c r="A15" s="2" t="n">
        <v>11</v>
      </c>
      <c r="B15" s="2">
        <f>INDEX('6.Gap'!$A$5:$A$24, MATCH(C15, '6.Gap'!$N$5:$N$24, 0))</f>
        <v/>
      </c>
      <c r="C15" s="9">
        <f>SMALL('6.Gap'!$N$5:$N$24, A15)</f>
        <v/>
      </c>
      <c r="D15" s="6">
        <f>INDEX('6.Gap'!$O$5:$O$24, MATCH(C15, '6.Gap'!$N$5:$N$24, 0))</f>
        <v/>
      </c>
      <c r="E15" s="7">
        <f>IF(D15=1, "★ Peringkat 1 – Sangat Direkomendasikan", IF(D15&lt;=5, "Sangat Direkomendasikan", IF(D15&lt;=10, "Direkomendasikan", "Pertimbangkan")))</f>
        <v/>
      </c>
    </row>
    <row r="16" ht="22" customHeight="1">
      <c r="A16" s="2" t="n">
        <v>12</v>
      </c>
      <c r="B16" s="2">
        <f>INDEX('6.Gap'!$A$5:$A$24, MATCH(C16, '6.Gap'!$N$5:$N$24, 0))</f>
        <v/>
      </c>
      <c r="C16" s="9">
        <f>SMALL('6.Gap'!$N$5:$N$24, A16)</f>
        <v/>
      </c>
      <c r="D16" s="6">
        <f>INDEX('6.Gap'!$O$5:$O$24, MATCH(C16, '6.Gap'!$N$5:$N$24, 0))</f>
        <v/>
      </c>
      <c r="E16" s="7">
        <f>IF(D16=1, "★ Peringkat 1 – Sangat Direkomendasikan", IF(D16&lt;=5, "Sangat Direkomendasikan", IF(D16&lt;=10, "Direkomendasikan", "Pertimbangkan")))</f>
        <v/>
      </c>
    </row>
    <row r="17" ht="22" customHeight="1">
      <c r="A17" s="2" t="n">
        <v>13</v>
      </c>
      <c r="B17" s="2">
        <f>INDEX('6.Gap'!$A$5:$A$24, MATCH(C17, '6.Gap'!$N$5:$N$24, 0))</f>
        <v/>
      </c>
      <c r="C17" s="9">
        <f>SMALL('6.Gap'!$N$5:$N$24, A17)</f>
        <v/>
      </c>
      <c r="D17" s="6">
        <f>INDEX('6.Gap'!$O$5:$O$24, MATCH(C17, '6.Gap'!$N$5:$N$24, 0))</f>
        <v/>
      </c>
      <c r="E17" s="7">
        <f>IF(D17=1, "★ Peringkat 1 – Sangat Direkomendasikan", IF(D17&lt;=5, "Sangat Direkomendasikan", IF(D17&lt;=10, "Direkomendasikan", "Pertimbangkan")))</f>
        <v/>
      </c>
    </row>
    <row r="18" ht="22" customHeight="1">
      <c r="A18" s="2" t="n">
        <v>14</v>
      </c>
      <c r="B18" s="2">
        <f>INDEX('6.Gap'!$A$5:$A$24, MATCH(C18, '6.Gap'!$N$5:$N$24, 0))</f>
        <v/>
      </c>
      <c r="C18" s="9">
        <f>SMALL('6.Gap'!$N$5:$N$24, A18)</f>
        <v/>
      </c>
      <c r="D18" s="6">
        <f>INDEX('6.Gap'!$O$5:$O$24, MATCH(C18, '6.Gap'!$N$5:$N$24, 0))</f>
        <v/>
      </c>
      <c r="E18" s="7">
        <f>IF(D18=1, "★ Peringkat 1 – Sangat Direkomendasikan", IF(D18&lt;=5, "Sangat Direkomendasikan", IF(D18&lt;=10, "Direkomendasikan", "Pertimbangkan")))</f>
        <v/>
      </c>
    </row>
    <row r="19" ht="22" customHeight="1">
      <c r="A19" s="2" t="n">
        <v>15</v>
      </c>
      <c r="B19" s="2">
        <f>INDEX('6.Gap'!$A$5:$A$24, MATCH(C19, '6.Gap'!$N$5:$N$24, 0))</f>
        <v/>
      </c>
      <c r="C19" s="9">
        <f>SMALL('6.Gap'!$N$5:$N$24, A19)</f>
        <v/>
      </c>
      <c r="D19" s="6">
        <f>INDEX('6.Gap'!$O$5:$O$24, MATCH(C19, '6.Gap'!$N$5:$N$24, 0))</f>
        <v/>
      </c>
      <c r="E19" s="7">
        <f>IF(D19=1, "★ Peringkat 1 – Sangat Direkomendasikan", IF(D19&lt;=5, "Sangat Direkomendasikan", IF(D19&lt;=10, "Direkomendasikan", "Pertimbangkan")))</f>
        <v/>
      </c>
    </row>
    <row r="20" ht="22" customHeight="1">
      <c r="A20" s="2" t="n">
        <v>16</v>
      </c>
      <c r="B20" s="2">
        <f>INDEX('6.Gap'!$A$5:$A$24, MATCH(C20, '6.Gap'!$N$5:$N$24, 0))</f>
        <v/>
      </c>
      <c r="C20" s="9">
        <f>SMALL('6.Gap'!$N$5:$N$24, A20)</f>
        <v/>
      </c>
      <c r="D20" s="6">
        <f>INDEX('6.Gap'!$O$5:$O$24, MATCH(C20, '6.Gap'!$N$5:$N$24, 0))</f>
        <v/>
      </c>
      <c r="E20" s="7">
        <f>IF(D20=1, "★ Peringkat 1 – Sangat Direkomendasikan", IF(D20&lt;=5, "Sangat Direkomendasikan", IF(D20&lt;=10, "Direkomendasikan", "Pertimbangkan")))</f>
        <v/>
      </c>
    </row>
    <row r="21" ht="22" customHeight="1">
      <c r="A21" s="2" t="n">
        <v>17</v>
      </c>
      <c r="B21" s="2">
        <f>INDEX('6.Gap'!$A$5:$A$24, MATCH(C21, '6.Gap'!$N$5:$N$24, 0))</f>
        <v/>
      </c>
      <c r="C21" s="9">
        <f>SMALL('6.Gap'!$N$5:$N$24, A21)</f>
        <v/>
      </c>
      <c r="D21" s="6">
        <f>INDEX('6.Gap'!$O$5:$O$24, MATCH(C21, '6.Gap'!$N$5:$N$24, 0))</f>
        <v/>
      </c>
      <c r="E21" s="7">
        <f>IF(D21=1, "★ Peringkat 1 – Sangat Direkomendasikan", IF(D21&lt;=5, "Sangat Direkomendasikan", IF(D21&lt;=10, "Direkomendasikan", "Pertimbangkan")))</f>
        <v/>
      </c>
    </row>
    <row r="22" ht="22" customHeight="1">
      <c r="A22" s="2" t="n">
        <v>18</v>
      </c>
      <c r="B22" s="2">
        <f>INDEX('6.Gap'!$A$5:$A$24, MATCH(C22, '6.Gap'!$N$5:$N$24, 0))</f>
        <v/>
      </c>
      <c r="C22" s="9">
        <f>SMALL('6.Gap'!$N$5:$N$24, A22)</f>
        <v/>
      </c>
      <c r="D22" s="6">
        <f>INDEX('6.Gap'!$O$5:$O$24, MATCH(C22, '6.Gap'!$N$5:$N$24, 0))</f>
        <v/>
      </c>
      <c r="E22" s="7">
        <f>IF(D22=1, "★ Peringkat 1 – Sangat Direkomendasikan", IF(D22&lt;=5, "Sangat Direkomendasikan", IF(D22&lt;=10, "Direkomendasikan", "Pertimbangkan")))</f>
        <v/>
      </c>
    </row>
    <row r="23" ht="22" customHeight="1">
      <c r="A23" s="2" t="n">
        <v>19</v>
      </c>
      <c r="B23" s="2">
        <f>INDEX('6.Gap'!$A$5:$A$24, MATCH(C23, '6.Gap'!$N$5:$N$24, 0))</f>
        <v/>
      </c>
      <c r="C23" s="9">
        <f>SMALL('6.Gap'!$N$5:$N$24, A23)</f>
        <v/>
      </c>
      <c r="D23" s="6">
        <f>INDEX('6.Gap'!$O$5:$O$24, MATCH(C23, '6.Gap'!$N$5:$N$24, 0))</f>
        <v/>
      </c>
      <c r="E23" s="7">
        <f>IF(D23=1, "★ Peringkat 1 – Sangat Direkomendasikan", IF(D23&lt;=5, "Sangat Direkomendasikan", IF(D23&lt;=10, "Direkomendasikan", "Pertimbangkan")))</f>
        <v/>
      </c>
    </row>
    <row r="24" ht="22" customHeight="1">
      <c r="A24" s="2" t="n">
        <v>20</v>
      </c>
      <c r="B24" s="2">
        <f>INDEX('6.Gap'!$A$5:$A$24, MATCH(C24, '6.Gap'!$N$5:$N$24, 0))</f>
        <v/>
      </c>
      <c r="C24" s="9">
        <f>SMALL('6.Gap'!$N$5:$N$24, A24)</f>
        <v/>
      </c>
      <c r="D24" s="6">
        <f>INDEX('6.Gap'!$O$5:$O$24, MATCH(C24, '6.Gap'!$N$5:$N$24, 0))</f>
        <v/>
      </c>
      <c r="E24" s="7">
        <f>IF(D24=1, "★ Peringkat 1 – Sangat Direkomendasikan", IF(D24&lt;=5, "Sangat Direkomendasikan", IF(D24&lt;=10, "Direkomendasikan", "Pertimbangkan")))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3" customWidth="1" min="2" max="2"/>
    <col width="15" customWidth="1" min="3" max="3"/>
    <col width="22" customWidth="1" min="4" max="4"/>
    <col width="13" customWidth="1" min="5" max="5"/>
    <col width="23" customWidth="1" min="6" max="6"/>
    <col width="15" customWidth="1" min="7" max="7"/>
    <col width="13" customWidth="1" min="8" max="8"/>
    <col width="15" customWidth="1" min="9" max="9"/>
    <col width="12" customWidth="1" min="10" max="10"/>
    <col width="25" customWidth="1" min="11" max="11"/>
    <col width="20" customWidth="1" min="12" max="12"/>
    <col width="17" customWidth="1" min="13" max="13"/>
    <col width="20" customWidth="1" min="14" max="14"/>
    <col width="16" customWidth="1" min="15" max="15"/>
    <col width="12" customWidth="1" min="16" max="16"/>
    <col width="20" customWidth="1" min="17" max="17"/>
    <col width="15" customWidth="1" min="18" max="18"/>
  </cols>
  <sheetData>
    <row r="1">
      <c r="A1" s="10" t="inlineStr">
        <is>
          <t>ANALISIS PERBANDINGAN METODE DAN UJI SENSITIVITAS</t>
        </is>
      </c>
    </row>
    <row r="2">
      <c r="A2" s="11" t="inlineStr">
        <is>
          <t>Berdasarkan Data Seleksi Smartphone Terbaik (20 Alternatif)</t>
        </is>
      </c>
    </row>
    <row r="3"/>
    <row r="4">
      <c r="A4" s="16" t="inlineStr">
        <is>
          <t>Tabel 1. Perbandingan Nilai dan Peringkat SAW, WP, TOPSIS, dan SWARA-MAIRCA</t>
        </is>
      </c>
    </row>
    <row r="5" ht="28" customHeight="1">
      <c r="A5" s="1" t="inlineStr">
        <is>
          <t>Alternatif</t>
        </is>
      </c>
      <c r="B5" s="1" t="inlineStr">
        <is>
          <t>SAW V</t>
        </is>
      </c>
      <c r="C5" s="1" t="inlineStr">
        <is>
          <t>Rank SAW</t>
        </is>
      </c>
      <c r="D5" s="1" t="inlineStr">
        <is>
          <t>WP V</t>
        </is>
      </c>
      <c r="E5" s="1" t="inlineStr">
        <is>
          <t>Rank WP</t>
        </is>
      </c>
      <c r="F5" s="1" t="inlineStr">
        <is>
          <t>TOPSIS V</t>
        </is>
      </c>
      <c r="G5" s="1" t="inlineStr">
        <is>
          <t>Rank TOPSIS</t>
        </is>
      </c>
      <c r="H5" s="1" t="inlineStr">
        <is>
          <t>MAIRCA Qi</t>
        </is>
      </c>
      <c r="I5" s="1" t="inlineStr">
        <is>
          <t>Rank MAIRCA</t>
        </is>
      </c>
      <c r="K5" s="1" t="inlineStr">
        <is>
          <t>Alt</t>
        </is>
      </c>
      <c r="L5" s="1" t="inlineStr">
        <is>
          <t>Rank R1
(MAIRCA)</t>
        </is>
      </c>
      <c r="M5" s="1" t="inlineStr">
        <is>
          <t>Rank R2
(SAW)</t>
        </is>
      </c>
      <c r="N5" s="1" t="inlineStr">
        <is>
          <t>d² (SAW)</t>
        </is>
      </c>
      <c r="O5" s="1" t="inlineStr">
        <is>
          <t>Rank R3
(WP)</t>
        </is>
      </c>
      <c r="P5" s="1" t="inlineStr">
        <is>
          <t>d² (WP)</t>
        </is>
      </c>
      <c r="Q5" s="1" t="inlineStr">
        <is>
          <t>Rank R4
(TOPSIS)</t>
        </is>
      </c>
      <c r="R5" s="1" t="inlineStr">
        <is>
          <t>d² (TOPSIS)</t>
        </is>
      </c>
    </row>
    <row r="6" ht="22" customHeight="1">
      <c r="A6" s="2" t="inlineStr">
        <is>
          <t>A01</t>
        </is>
      </c>
      <c r="B6" s="9" t="n">
        <v>0.5968826922167859</v>
      </c>
      <c r="C6" s="6">
        <f>RANK(B6,$B$6:$B$25,0)</f>
        <v/>
      </c>
      <c r="D6" s="9" t="n">
        <v>6.426570110145039</v>
      </c>
      <c r="E6" s="6">
        <f>RANK(D6,$D$6:$D$25,0)</f>
        <v/>
      </c>
      <c r="F6" s="9" t="n">
        <v>0.3393997656424983</v>
      </c>
      <c r="G6" s="6">
        <f>RANK(F6,$F$6:$F$25,0)</f>
        <v/>
      </c>
      <c r="H6" s="9">
        <f>'6.Gap'!N5</f>
        <v/>
      </c>
      <c r="I6" s="6">
        <f>'6.Gap'!O5</f>
        <v/>
      </c>
      <c r="K6" s="2" t="inlineStr">
        <is>
          <t>A01</t>
        </is>
      </c>
      <c r="L6" s="6">
        <f>I6</f>
        <v/>
      </c>
      <c r="M6" s="6">
        <f>C6</f>
        <v/>
      </c>
      <c r="N6" s="17">
        <f>(L6-M6)^2</f>
        <v/>
      </c>
      <c r="O6" s="6">
        <f>E6</f>
        <v/>
      </c>
      <c r="P6" s="17">
        <f>(L6-O6)^2</f>
        <v/>
      </c>
      <c r="Q6" s="6">
        <f>G6</f>
        <v/>
      </c>
      <c r="R6" s="17">
        <f>(L6-Q6)^2</f>
        <v/>
      </c>
    </row>
    <row r="7" ht="22" customHeight="1">
      <c r="A7" s="2" t="inlineStr">
        <is>
          <t>A02</t>
        </is>
      </c>
      <c r="B7" s="9" t="n">
        <v>0.507868290097254</v>
      </c>
      <c r="C7" s="6">
        <f>RANK(B7,$B$6:$B$25,0)</f>
        <v/>
      </c>
      <c r="D7" s="9" t="n">
        <v>4.729907974178849</v>
      </c>
      <c r="E7" s="6">
        <f>RANK(D7,$D$6:$D$25,0)</f>
        <v/>
      </c>
      <c r="F7" s="9" t="n">
        <v>0.271328873029948</v>
      </c>
      <c r="G7" s="6">
        <f>RANK(F7,$F$6:$F$25,0)</f>
        <v/>
      </c>
      <c r="H7" s="9">
        <f>'6.Gap'!N6</f>
        <v/>
      </c>
      <c r="I7" s="6">
        <f>'6.Gap'!O6</f>
        <v/>
      </c>
      <c r="K7" s="2" t="inlineStr">
        <is>
          <t>A02</t>
        </is>
      </c>
      <c r="L7" s="6">
        <f>I7</f>
        <v/>
      </c>
      <c r="M7" s="6">
        <f>C7</f>
        <v/>
      </c>
      <c r="N7" s="17">
        <f>(L7-M7)^2</f>
        <v/>
      </c>
      <c r="O7" s="6">
        <f>E7</f>
        <v/>
      </c>
      <c r="P7" s="17">
        <f>(L7-O7)^2</f>
        <v/>
      </c>
      <c r="Q7" s="6">
        <f>G7</f>
        <v/>
      </c>
      <c r="R7" s="17">
        <f>(L7-Q7)^2</f>
        <v/>
      </c>
    </row>
    <row r="8" ht="22" customHeight="1">
      <c r="A8" s="2" t="inlineStr">
        <is>
          <t>A03</t>
        </is>
      </c>
      <c r="B8" s="9" t="n">
        <v>0.7243343762929649</v>
      </c>
      <c r="C8" s="6">
        <f>RANK(B8,$B$6:$B$25,0)</f>
        <v/>
      </c>
      <c r="D8" s="9" t="n">
        <v>8.320647528534625</v>
      </c>
      <c r="E8" s="6">
        <f>RANK(D8,$D$6:$D$25,0)</f>
        <v/>
      </c>
      <c r="F8" s="9" t="n">
        <v>0.5176845282566226</v>
      </c>
      <c r="G8" s="6">
        <f>RANK(F8,$F$6:$F$25,0)</f>
        <v/>
      </c>
      <c r="H8" s="9">
        <f>'6.Gap'!N7</f>
        <v/>
      </c>
      <c r="I8" s="6">
        <f>'6.Gap'!O7</f>
        <v/>
      </c>
      <c r="K8" s="2" t="inlineStr">
        <is>
          <t>A03</t>
        </is>
      </c>
      <c r="L8" s="6">
        <f>I8</f>
        <v/>
      </c>
      <c r="M8" s="6">
        <f>C8</f>
        <v/>
      </c>
      <c r="N8" s="17">
        <f>(L8-M8)^2</f>
        <v/>
      </c>
      <c r="O8" s="6">
        <f>E8</f>
        <v/>
      </c>
      <c r="P8" s="17">
        <f>(L8-O8)^2</f>
        <v/>
      </c>
      <c r="Q8" s="6">
        <f>G8</f>
        <v/>
      </c>
      <c r="R8" s="17">
        <f>(L8-Q8)^2</f>
        <v/>
      </c>
    </row>
    <row r="9" ht="22" customHeight="1">
      <c r="A9" s="2" t="inlineStr">
        <is>
          <t>A04</t>
        </is>
      </c>
      <c r="B9" s="9" t="n">
        <v>0.6461979227705302</v>
      </c>
      <c r="C9" s="6">
        <f>RANK(B9,$B$6:$B$25,0)</f>
        <v/>
      </c>
      <c r="D9" s="9" t="n">
        <v>6.962507099033465</v>
      </c>
      <c r="E9" s="6">
        <f>RANK(D9,$D$6:$D$25,0)</f>
        <v/>
      </c>
      <c r="F9" s="9" t="n">
        <v>0.4054398210312908</v>
      </c>
      <c r="G9" s="6">
        <f>RANK(F9,$F$6:$F$25,0)</f>
        <v/>
      </c>
      <c r="H9" s="9">
        <f>'6.Gap'!N8</f>
        <v/>
      </c>
      <c r="I9" s="6">
        <f>'6.Gap'!O8</f>
        <v/>
      </c>
      <c r="K9" s="2" t="inlineStr">
        <is>
          <t>A04</t>
        </is>
      </c>
      <c r="L9" s="6">
        <f>I9</f>
        <v/>
      </c>
      <c r="M9" s="6">
        <f>C9</f>
        <v/>
      </c>
      <c r="N9" s="17">
        <f>(L9-M9)^2</f>
        <v/>
      </c>
      <c r="O9" s="6">
        <f>E9</f>
        <v/>
      </c>
      <c r="P9" s="17">
        <f>(L9-O9)^2</f>
        <v/>
      </c>
      <c r="Q9" s="6">
        <f>G9</f>
        <v/>
      </c>
      <c r="R9" s="17">
        <f>(L9-Q9)^2</f>
        <v/>
      </c>
    </row>
    <row r="10" ht="22" customHeight="1">
      <c r="A10" s="2" t="inlineStr">
        <is>
          <t>A05</t>
        </is>
      </c>
      <c r="B10" s="9" t="n">
        <v>0.5493617962617414</v>
      </c>
      <c r="C10" s="6">
        <f>RANK(B10,$B$6:$B$25,0)</f>
        <v/>
      </c>
      <c r="D10" s="9" t="n">
        <v>5.718893443069478</v>
      </c>
      <c r="E10" s="6">
        <f>RANK(D10,$D$6:$D$25,0)</f>
        <v/>
      </c>
      <c r="F10" s="9" t="n">
        <v>0.2991065048055788</v>
      </c>
      <c r="G10" s="6">
        <f>RANK(F10,$F$6:$F$25,0)</f>
        <v/>
      </c>
      <c r="H10" s="9">
        <f>'6.Gap'!N9</f>
        <v/>
      </c>
      <c r="I10" s="6">
        <f>'6.Gap'!O9</f>
        <v/>
      </c>
      <c r="K10" s="2" t="inlineStr">
        <is>
          <t>A05</t>
        </is>
      </c>
      <c r="L10" s="6">
        <f>I10</f>
        <v/>
      </c>
      <c r="M10" s="6">
        <f>C10</f>
        <v/>
      </c>
      <c r="N10" s="17">
        <f>(L10-M10)^2</f>
        <v/>
      </c>
      <c r="O10" s="6">
        <f>E10</f>
        <v/>
      </c>
      <c r="P10" s="17">
        <f>(L10-O10)^2</f>
        <v/>
      </c>
      <c r="Q10" s="6">
        <f>G10</f>
        <v/>
      </c>
      <c r="R10" s="17">
        <f>(L10-Q10)^2</f>
        <v/>
      </c>
    </row>
    <row r="11" ht="22" customHeight="1">
      <c r="A11" s="2" t="inlineStr">
        <is>
          <t>A06</t>
        </is>
      </c>
      <c r="B11" s="9" t="n">
        <v>0.8381194770739333</v>
      </c>
      <c r="C11" s="6">
        <f>RANK(B11,$B$6:$B$25,0)</f>
        <v/>
      </c>
      <c r="D11" s="9" t="n">
        <v>9.633727891051837</v>
      </c>
      <c r="E11" s="6">
        <f>RANK(D11,$D$6:$D$25,0)</f>
        <v/>
      </c>
      <c r="F11" s="9" t="n">
        <v>0.7054786469075364</v>
      </c>
      <c r="G11" s="6">
        <f>RANK(F11,$F$6:$F$25,0)</f>
        <v/>
      </c>
      <c r="H11" s="9">
        <f>'6.Gap'!N10</f>
        <v/>
      </c>
      <c r="I11" s="6">
        <f>'6.Gap'!O10</f>
        <v/>
      </c>
      <c r="K11" s="2" t="inlineStr">
        <is>
          <t>A06</t>
        </is>
      </c>
      <c r="L11" s="6">
        <f>I11</f>
        <v/>
      </c>
      <c r="M11" s="6">
        <f>C11</f>
        <v/>
      </c>
      <c r="N11" s="17">
        <f>(L11-M11)^2</f>
        <v/>
      </c>
      <c r="O11" s="6">
        <f>E11</f>
        <v/>
      </c>
      <c r="P11" s="17">
        <f>(L11-O11)^2</f>
        <v/>
      </c>
      <c r="Q11" s="6">
        <f>G11</f>
        <v/>
      </c>
      <c r="R11" s="17">
        <f>(L11-Q11)^2</f>
        <v/>
      </c>
    </row>
    <row r="12" ht="22" customHeight="1">
      <c r="A12" s="2" t="inlineStr">
        <is>
          <t>A07</t>
        </is>
      </c>
      <c r="B12" s="9" t="n">
        <v>0.6661940357644854</v>
      </c>
      <c r="C12" s="6">
        <f>RANK(B12,$B$6:$B$25,0)</f>
        <v/>
      </c>
      <c r="D12" s="9" t="n">
        <v>7.15659806791866</v>
      </c>
      <c r="E12" s="6">
        <f>RANK(D12,$D$6:$D$25,0)</f>
        <v/>
      </c>
      <c r="F12" s="9" t="n">
        <v>0.4153506868567223</v>
      </c>
      <c r="G12" s="6">
        <f>RANK(F12,$F$6:$F$25,0)</f>
        <v/>
      </c>
      <c r="H12" s="9">
        <f>'6.Gap'!N11</f>
        <v/>
      </c>
      <c r="I12" s="6">
        <f>'6.Gap'!O11</f>
        <v/>
      </c>
      <c r="K12" s="2" t="inlineStr">
        <is>
          <t>A07</t>
        </is>
      </c>
      <c r="L12" s="6">
        <f>I12</f>
        <v/>
      </c>
      <c r="M12" s="6">
        <f>C12</f>
        <v/>
      </c>
      <c r="N12" s="17">
        <f>(L12-M12)^2</f>
        <v/>
      </c>
      <c r="O12" s="6">
        <f>E12</f>
        <v/>
      </c>
      <c r="P12" s="17">
        <f>(L12-O12)^2</f>
        <v/>
      </c>
      <c r="Q12" s="6">
        <f>G12</f>
        <v/>
      </c>
      <c r="R12" s="17">
        <f>(L12-Q12)^2</f>
        <v/>
      </c>
    </row>
    <row r="13" ht="22" customHeight="1">
      <c r="A13" s="2" t="inlineStr">
        <is>
          <t>A08</t>
        </is>
      </c>
      <c r="B13" s="9" t="n">
        <v>0.501699569134047</v>
      </c>
      <c r="C13" s="6">
        <f>RANK(B13,$B$6:$B$25,0)</f>
        <v/>
      </c>
      <c r="D13" s="9" t="n">
        <v>4.857649720717562</v>
      </c>
      <c r="E13" s="6">
        <f>RANK(D13,$D$6:$D$25,0)</f>
        <v/>
      </c>
      <c r="F13" s="9" t="n">
        <v>0.2956925775259243</v>
      </c>
      <c r="G13" s="6">
        <f>RANK(F13,$F$6:$F$25,0)</f>
        <v/>
      </c>
      <c r="H13" s="9">
        <f>'6.Gap'!N12</f>
        <v/>
      </c>
      <c r="I13" s="6">
        <f>'6.Gap'!O12</f>
        <v/>
      </c>
      <c r="K13" s="2" t="inlineStr">
        <is>
          <t>A08</t>
        </is>
      </c>
      <c r="L13" s="6">
        <f>I13</f>
        <v/>
      </c>
      <c r="M13" s="6">
        <f>C13</f>
        <v/>
      </c>
      <c r="N13" s="17">
        <f>(L13-M13)^2</f>
        <v/>
      </c>
      <c r="O13" s="6">
        <f>E13</f>
        <v/>
      </c>
      <c r="P13" s="17">
        <f>(L13-O13)^2</f>
        <v/>
      </c>
      <c r="Q13" s="6">
        <f>G13</f>
        <v/>
      </c>
      <c r="R13" s="17">
        <f>(L13-Q13)^2</f>
        <v/>
      </c>
    </row>
    <row r="14" ht="22" customHeight="1">
      <c r="A14" s="2" t="inlineStr">
        <is>
          <t>A09</t>
        </is>
      </c>
      <c r="B14" s="9" t="n">
        <v>0.5965986016509639</v>
      </c>
      <c r="C14" s="6">
        <f>RANK(B14,$B$6:$B$25,0)</f>
        <v/>
      </c>
      <c r="D14" s="9" t="n">
        <v>5.870518713328782</v>
      </c>
      <c r="E14" s="6">
        <f>RANK(D14,$D$6:$D$25,0)</f>
        <v/>
      </c>
      <c r="F14" s="9" t="n">
        <v>0.3130410729965898</v>
      </c>
      <c r="G14" s="6">
        <f>RANK(F14,$F$6:$F$25,0)</f>
        <v/>
      </c>
      <c r="H14" s="9">
        <f>'6.Gap'!N13</f>
        <v/>
      </c>
      <c r="I14" s="6">
        <f>'6.Gap'!O13</f>
        <v/>
      </c>
      <c r="K14" s="2" t="inlineStr">
        <is>
          <t>A09</t>
        </is>
      </c>
      <c r="L14" s="6">
        <f>I14</f>
        <v/>
      </c>
      <c r="M14" s="6">
        <f>C14</f>
        <v/>
      </c>
      <c r="N14" s="17">
        <f>(L14-M14)^2</f>
        <v/>
      </c>
      <c r="O14" s="6">
        <f>E14</f>
        <v/>
      </c>
      <c r="P14" s="17">
        <f>(L14-O14)^2</f>
        <v/>
      </c>
      <c r="Q14" s="6">
        <f>G14</f>
        <v/>
      </c>
      <c r="R14" s="17">
        <f>(L14-Q14)^2</f>
        <v/>
      </c>
    </row>
    <row r="15" ht="22" customHeight="1">
      <c r="A15" s="2" t="inlineStr">
        <is>
          <t>A10</t>
        </is>
      </c>
      <c r="B15" s="9" t="n">
        <v>0.7243343762929649</v>
      </c>
      <c r="C15" s="6">
        <f>RANK(B15,$B$6:$B$25,0)</f>
        <v/>
      </c>
      <c r="D15" s="9" t="n">
        <v>8.320647528534625</v>
      </c>
      <c r="E15" s="6">
        <f>RANK(D15,$D$6:$D$25,0)</f>
        <v/>
      </c>
      <c r="F15" s="9" t="n">
        <v>0.5176845282566226</v>
      </c>
      <c r="G15" s="6">
        <f>RANK(F15,$F$6:$F$25,0)</f>
        <v/>
      </c>
      <c r="H15" s="9">
        <f>'6.Gap'!N14</f>
        <v/>
      </c>
      <c r="I15" s="6">
        <f>'6.Gap'!O14</f>
        <v/>
      </c>
      <c r="K15" s="2" t="inlineStr">
        <is>
          <t>A10</t>
        </is>
      </c>
      <c r="L15" s="6">
        <f>I15</f>
        <v/>
      </c>
      <c r="M15" s="6">
        <f>C15</f>
        <v/>
      </c>
      <c r="N15" s="17">
        <f>(L15-M15)^2</f>
        <v/>
      </c>
      <c r="O15" s="6">
        <f>E15</f>
        <v/>
      </c>
      <c r="P15" s="17">
        <f>(L15-O15)^2</f>
        <v/>
      </c>
      <c r="Q15" s="6">
        <f>G15</f>
        <v/>
      </c>
      <c r="R15" s="17">
        <f>(L15-Q15)^2</f>
        <v/>
      </c>
    </row>
    <row r="16" ht="22" customHeight="1">
      <c r="A16" s="2" t="inlineStr">
        <is>
          <t>A11</t>
        </is>
      </c>
      <c r="B16" s="9" t="n">
        <v>0.4939720093684368</v>
      </c>
      <c r="C16" s="6">
        <f>RANK(B16,$B$6:$B$25,0)</f>
        <v/>
      </c>
      <c r="D16" s="9" t="n">
        <v>4.888688401340459</v>
      </c>
      <c r="E16" s="6">
        <f>RANK(D16,$D$6:$D$25,0)</f>
        <v/>
      </c>
      <c r="F16" s="9" t="n">
        <v>0.2269041268719323</v>
      </c>
      <c r="G16" s="6">
        <f>RANK(F16,$F$6:$F$25,0)</f>
        <v/>
      </c>
      <c r="H16" s="9">
        <f>'6.Gap'!N15</f>
        <v/>
      </c>
      <c r="I16" s="6">
        <f>'6.Gap'!O15</f>
        <v/>
      </c>
      <c r="K16" s="2" t="inlineStr">
        <is>
          <t>A11</t>
        </is>
      </c>
      <c r="L16" s="6">
        <f>I16</f>
        <v/>
      </c>
      <c r="M16" s="6">
        <f>C16</f>
        <v/>
      </c>
      <c r="N16" s="17">
        <f>(L16-M16)^2</f>
        <v/>
      </c>
      <c r="O16" s="6">
        <f>E16</f>
        <v/>
      </c>
      <c r="P16" s="17">
        <f>(L16-O16)^2</f>
        <v/>
      </c>
      <c r="Q16" s="6">
        <f>G16</f>
        <v/>
      </c>
      <c r="R16" s="17">
        <f>(L16-Q16)^2</f>
        <v/>
      </c>
    </row>
    <row r="17" ht="22" customHeight="1">
      <c r="A17" s="2" t="inlineStr">
        <is>
          <t>A12</t>
        </is>
      </c>
      <c r="B17" s="9" t="n">
        <v>0.6426141963542789</v>
      </c>
      <c r="C17" s="6">
        <f>RANK(B17,$B$6:$B$25,0)</f>
        <v/>
      </c>
      <c r="D17" s="9" t="n">
        <v>7.202877504890548</v>
      </c>
      <c r="E17" s="6">
        <f>RANK(D17,$D$6:$D$25,0)</f>
        <v/>
      </c>
      <c r="F17" s="9" t="n">
        <v>0.3570215443915546</v>
      </c>
      <c r="G17" s="6">
        <f>RANK(F17,$F$6:$F$25,0)</f>
        <v/>
      </c>
      <c r="H17" s="9">
        <f>'6.Gap'!N16</f>
        <v/>
      </c>
      <c r="I17" s="6">
        <f>'6.Gap'!O16</f>
        <v/>
      </c>
      <c r="K17" s="2" t="inlineStr">
        <is>
          <t>A12</t>
        </is>
      </c>
      <c r="L17" s="6">
        <f>I17</f>
        <v/>
      </c>
      <c r="M17" s="6">
        <f>C17</f>
        <v/>
      </c>
      <c r="N17" s="17">
        <f>(L17-M17)^2</f>
        <v/>
      </c>
      <c r="O17" s="6">
        <f>E17</f>
        <v/>
      </c>
      <c r="P17" s="17">
        <f>(L17-O17)^2</f>
        <v/>
      </c>
      <c r="Q17" s="6">
        <f>G17</f>
        <v/>
      </c>
      <c r="R17" s="17">
        <f>(L17-Q17)^2</f>
        <v/>
      </c>
    </row>
    <row r="18" ht="22" customHeight="1">
      <c r="A18" s="2" t="inlineStr">
        <is>
          <t>A13</t>
        </is>
      </c>
      <c r="B18" s="9" t="n">
        <v>0.7121132173325679</v>
      </c>
      <c r="C18" s="6">
        <f>RANK(B18,$B$6:$B$25,0)</f>
        <v/>
      </c>
      <c r="D18" s="9" t="n">
        <v>8.323902094557909</v>
      </c>
      <c r="E18" s="6">
        <f>RANK(D18,$D$6:$D$25,0)</f>
        <v/>
      </c>
      <c r="F18" s="9" t="n">
        <v>0.4393673777341586</v>
      </c>
      <c r="G18" s="6">
        <f>RANK(F18,$F$6:$F$25,0)</f>
        <v/>
      </c>
      <c r="H18" s="9">
        <f>'6.Gap'!N17</f>
        <v/>
      </c>
      <c r="I18" s="6">
        <f>'6.Gap'!O17</f>
        <v/>
      </c>
      <c r="K18" s="2" t="inlineStr">
        <is>
          <t>A13</t>
        </is>
      </c>
      <c r="L18" s="6">
        <f>I18</f>
        <v/>
      </c>
      <c r="M18" s="6">
        <f>C18</f>
        <v/>
      </c>
      <c r="N18" s="17">
        <f>(L18-M18)^2</f>
        <v/>
      </c>
      <c r="O18" s="6">
        <f>E18</f>
        <v/>
      </c>
      <c r="P18" s="17">
        <f>(L18-O18)^2</f>
        <v/>
      </c>
      <c r="Q18" s="6">
        <f>G18</f>
        <v/>
      </c>
      <c r="R18" s="17">
        <f>(L18-Q18)^2</f>
        <v/>
      </c>
    </row>
    <row r="19" ht="22" customHeight="1">
      <c r="A19" s="2" t="inlineStr">
        <is>
          <t>A14</t>
        </is>
      </c>
      <c r="B19" s="9" t="n">
        <v>0.4732038536000083</v>
      </c>
      <c r="C19" s="6">
        <f>RANK(B19,$B$6:$B$25,0)</f>
        <v/>
      </c>
      <c r="D19" s="9" t="n">
        <v>4.301076427356408</v>
      </c>
      <c r="E19" s="6">
        <f>RANK(D19,$D$6:$D$25,0)</f>
        <v/>
      </c>
      <c r="F19" s="9" t="n">
        <v>0.2328567100949094</v>
      </c>
      <c r="G19" s="6">
        <f>RANK(F19,$F$6:$F$25,0)</f>
        <v/>
      </c>
      <c r="H19" s="9">
        <f>'6.Gap'!N18</f>
        <v/>
      </c>
      <c r="I19" s="6">
        <f>'6.Gap'!O18</f>
        <v/>
      </c>
      <c r="K19" s="2" t="inlineStr">
        <is>
          <t>A14</t>
        </is>
      </c>
      <c r="L19" s="6">
        <f>I19</f>
        <v/>
      </c>
      <c r="M19" s="6">
        <f>C19</f>
        <v/>
      </c>
      <c r="N19" s="17">
        <f>(L19-M19)^2</f>
        <v/>
      </c>
      <c r="O19" s="6">
        <f>E19</f>
        <v/>
      </c>
      <c r="P19" s="17">
        <f>(L19-O19)^2</f>
        <v/>
      </c>
      <c r="Q19" s="6">
        <f>G19</f>
        <v/>
      </c>
      <c r="R19" s="17">
        <f>(L19-Q19)^2</f>
        <v/>
      </c>
    </row>
    <row r="20" ht="22" customHeight="1">
      <c r="A20" s="2" t="inlineStr">
        <is>
          <t>A15</t>
        </is>
      </c>
      <c r="B20" s="9" t="n">
        <v>0.4912101352702356</v>
      </c>
      <c r="C20" s="6">
        <f>RANK(B20,$B$6:$B$25,0)</f>
        <v/>
      </c>
      <c r="D20" s="9" t="n">
        <v>4.898836106064136</v>
      </c>
      <c r="E20" s="6">
        <f>RANK(D20,$D$6:$D$25,0)</f>
        <v/>
      </c>
      <c r="F20" s="9" t="n">
        <v>0.2556616506815627</v>
      </c>
      <c r="G20" s="6">
        <f>RANK(F20,$F$6:$F$25,0)</f>
        <v/>
      </c>
      <c r="H20" s="9">
        <f>'6.Gap'!N19</f>
        <v/>
      </c>
      <c r="I20" s="6">
        <f>'6.Gap'!O19</f>
        <v/>
      </c>
      <c r="K20" s="2" t="inlineStr">
        <is>
          <t>A15</t>
        </is>
      </c>
      <c r="L20" s="6">
        <f>I20</f>
        <v/>
      </c>
      <c r="M20" s="6">
        <f>C20</f>
        <v/>
      </c>
      <c r="N20" s="17">
        <f>(L20-M20)^2</f>
        <v/>
      </c>
      <c r="O20" s="6">
        <f>E20</f>
        <v/>
      </c>
      <c r="P20" s="17">
        <f>(L20-O20)^2</f>
        <v/>
      </c>
      <c r="Q20" s="6">
        <f>G20</f>
        <v/>
      </c>
      <c r="R20" s="17">
        <f>(L20-Q20)^2</f>
        <v/>
      </c>
    </row>
    <row r="21" ht="22" customHeight="1">
      <c r="A21" s="2" t="inlineStr">
        <is>
          <t>A16</t>
        </is>
      </c>
      <c r="B21" s="9" t="n">
        <v>0.4864955222209211</v>
      </c>
      <c r="C21" s="6">
        <f>RANK(B21,$B$6:$B$25,0)</f>
        <v/>
      </c>
      <c r="D21" s="9" t="n">
        <v>4.73181219438422</v>
      </c>
      <c r="E21" s="6">
        <f>RANK(D21,$D$6:$D$25,0)</f>
        <v/>
      </c>
      <c r="F21" s="9" t="n">
        <v>0.2662172754425245</v>
      </c>
      <c r="G21" s="6">
        <f>RANK(F21,$F$6:$F$25,0)</f>
        <v/>
      </c>
      <c r="H21" s="9">
        <f>'6.Gap'!N20</f>
        <v/>
      </c>
      <c r="I21" s="6">
        <f>'6.Gap'!O20</f>
        <v/>
      </c>
      <c r="K21" s="2" t="inlineStr">
        <is>
          <t>A16</t>
        </is>
      </c>
      <c r="L21" s="6">
        <f>I21</f>
        <v/>
      </c>
      <c r="M21" s="6">
        <f>C21</f>
        <v/>
      </c>
      <c r="N21" s="17">
        <f>(L21-M21)^2</f>
        <v/>
      </c>
      <c r="O21" s="6">
        <f>E21</f>
        <v/>
      </c>
      <c r="P21" s="17">
        <f>(L21-O21)^2</f>
        <v/>
      </c>
      <c r="Q21" s="6">
        <f>G21</f>
        <v/>
      </c>
      <c r="R21" s="17">
        <f>(L21-Q21)^2</f>
        <v/>
      </c>
    </row>
    <row r="22" ht="22" customHeight="1">
      <c r="A22" s="2" t="inlineStr">
        <is>
          <t>A17</t>
        </is>
      </c>
      <c r="B22" s="9" t="n">
        <v>0.7052397458365928</v>
      </c>
      <c r="C22" s="6">
        <f>RANK(B22,$B$6:$B$25,0)</f>
        <v/>
      </c>
      <c r="D22" s="9" t="n">
        <v>8.067400081771915</v>
      </c>
      <c r="E22" s="6">
        <f>RANK(D22,$D$6:$D$25,0)</f>
        <v/>
      </c>
      <c r="F22" s="9" t="n">
        <v>0.4195493325024352</v>
      </c>
      <c r="G22" s="6">
        <f>RANK(F22,$F$6:$F$25,0)</f>
        <v/>
      </c>
      <c r="H22" s="9">
        <f>'6.Gap'!N21</f>
        <v/>
      </c>
      <c r="I22" s="6">
        <f>'6.Gap'!O21</f>
        <v/>
      </c>
      <c r="K22" s="2" t="inlineStr">
        <is>
          <t>A17</t>
        </is>
      </c>
      <c r="L22" s="6">
        <f>I22</f>
        <v/>
      </c>
      <c r="M22" s="6">
        <f>C22</f>
        <v/>
      </c>
      <c r="N22" s="17">
        <f>(L22-M22)^2</f>
        <v/>
      </c>
      <c r="O22" s="6">
        <f>E22</f>
        <v/>
      </c>
      <c r="P22" s="17">
        <f>(L22-O22)^2</f>
        <v/>
      </c>
      <c r="Q22" s="6">
        <f>G22</f>
        <v/>
      </c>
      <c r="R22" s="17">
        <f>(L22-Q22)^2</f>
        <v/>
      </c>
    </row>
    <row r="23" ht="22" customHeight="1">
      <c r="A23" s="2" t="inlineStr">
        <is>
          <t>A18</t>
        </is>
      </c>
      <c r="B23" s="9" t="n">
        <v>0.5063826239425416</v>
      </c>
      <c r="C23" s="6">
        <f>RANK(B23,$B$6:$B$25,0)</f>
        <v/>
      </c>
      <c r="D23" s="9" t="n">
        <v>5.382290319917772</v>
      </c>
      <c r="E23" s="6">
        <f>RANK(D23,$D$6:$D$25,0)</f>
        <v/>
      </c>
      <c r="F23" s="9" t="n">
        <v>0.3189970563752397</v>
      </c>
      <c r="G23" s="6">
        <f>RANK(F23,$F$6:$F$25,0)</f>
        <v/>
      </c>
      <c r="H23" s="9">
        <f>'6.Gap'!N22</f>
        <v/>
      </c>
      <c r="I23" s="6">
        <f>'6.Gap'!O22</f>
        <v/>
      </c>
      <c r="K23" s="2" t="inlineStr">
        <is>
          <t>A18</t>
        </is>
      </c>
      <c r="L23" s="6">
        <f>I23</f>
        <v/>
      </c>
      <c r="M23" s="6">
        <f>C23</f>
        <v/>
      </c>
      <c r="N23" s="17">
        <f>(L23-M23)^2</f>
        <v/>
      </c>
      <c r="O23" s="6">
        <f>E23</f>
        <v/>
      </c>
      <c r="P23" s="17">
        <f>(L23-O23)^2</f>
        <v/>
      </c>
      <c r="Q23" s="6">
        <f>G23</f>
        <v/>
      </c>
      <c r="R23" s="17">
        <f>(L23-Q23)^2</f>
        <v/>
      </c>
    </row>
    <row r="24" ht="22" customHeight="1">
      <c r="A24" s="2" t="inlineStr">
        <is>
          <t>A19</t>
        </is>
      </c>
      <c r="B24" s="9" t="n">
        <v>0.5664057406847672</v>
      </c>
      <c r="C24" s="6">
        <f>RANK(B24,$B$6:$B$25,0)</f>
        <v/>
      </c>
      <c r="D24" s="9" t="n">
        <v>5.671351610692559</v>
      </c>
      <c r="E24" s="6">
        <f>RANK(D24,$D$6:$D$25,0)</f>
        <v/>
      </c>
      <c r="F24" s="9" t="n">
        <v>0.3068721201200699</v>
      </c>
      <c r="G24" s="6">
        <f>RANK(F24,$F$6:$F$25,0)</f>
        <v/>
      </c>
      <c r="H24" s="9">
        <f>'6.Gap'!N23</f>
        <v/>
      </c>
      <c r="I24" s="6">
        <f>'6.Gap'!O23</f>
        <v/>
      </c>
      <c r="K24" s="2" t="inlineStr">
        <is>
          <t>A19</t>
        </is>
      </c>
      <c r="L24" s="6">
        <f>I24</f>
        <v/>
      </c>
      <c r="M24" s="6">
        <f>C24</f>
        <v/>
      </c>
      <c r="N24" s="17">
        <f>(L24-M24)^2</f>
        <v/>
      </c>
      <c r="O24" s="6">
        <f>E24</f>
        <v/>
      </c>
      <c r="P24" s="17">
        <f>(L24-O24)^2</f>
        <v/>
      </c>
      <c r="Q24" s="6">
        <f>G24</f>
        <v/>
      </c>
      <c r="R24" s="17">
        <f>(L24-Q24)^2</f>
        <v/>
      </c>
    </row>
    <row r="25" ht="22" customHeight="1">
      <c r="A25" s="2" t="inlineStr">
        <is>
          <t>A20</t>
        </is>
      </c>
      <c r="B25" s="9" t="n">
        <v>0.7121132173325679</v>
      </c>
      <c r="C25" s="6">
        <f>RANK(B25,$B$6:$B$25,0)</f>
        <v/>
      </c>
      <c r="D25" s="9" t="n">
        <v>8.323902094557909</v>
      </c>
      <c r="E25" s="6">
        <f>RANK(D25,$D$6:$D$25,0)</f>
        <v/>
      </c>
      <c r="F25" s="9" t="n">
        <v>0.4393673777341586</v>
      </c>
      <c r="G25" s="6">
        <f>RANK(F25,$F$6:$F$25,0)</f>
        <v/>
      </c>
      <c r="H25" s="9">
        <f>'6.Gap'!N24</f>
        <v/>
      </c>
      <c r="I25" s="6">
        <f>'6.Gap'!O24</f>
        <v/>
      </c>
      <c r="K25" s="2" t="inlineStr">
        <is>
          <t>A20</t>
        </is>
      </c>
      <c r="L25" s="6">
        <f>I25</f>
        <v/>
      </c>
      <c r="M25" s="6">
        <f>C25</f>
        <v/>
      </c>
      <c r="N25" s="17">
        <f>(L25-M25)^2</f>
        <v/>
      </c>
      <c r="O25" s="6">
        <f>E25</f>
        <v/>
      </c>
      <c r="P25" s="17">
        <f>(L25-O25)^2</f>
        <v/>
      </c>
      <c r="Q25" s="6">
        <f>G25</f>
        <v/>
      </c>
      <c r="R25" s="17">
        <f>(L25-Q25)^2</f>
        <v/>
      </c>
    </row>
    <row r="26">
      <c r="K26" s="18" t="inlineStr">
        <is>
          <t>TOTAL Σ</t>
        </is>
      </c>
      <c r="L26" s="19" t="n"/>
      <c r="M26" s="19" t="n"/>
      <c r="N26" s="20">
        <f>SUM(N6:N25)</f>
        <v/>
      </c>
      <c r="O26" s="19" t="n"/>
      <c r="P26" s="20">
        <f>SUM(P6:P25)</f>
        <v/>
      </c>
      <c r="Q26" s="19" t="n"/>
      <c r="R26" s="20">
        <f>SUM(R6:R25)</f>
        <v/>
      </c>
    </row>
    <row r="27"/>
    <row r="28"/>
    <row r="29">
      <c r="A29" s="16" t="inlineStr">
        <is>
          <t>Tabel 4. Analisis Sensitivitas (Variasi Bobot K12)</t>
        </is>
      </c>
      <c r="K29" s="16" t="inlineStr">
        <is>
          <t>Tabel 3. Koefisien Korelasi Spearman (rs)</t>
        </is>
      </c>
    </row>
    <row r="30">
      <c r="A30" s="1" t="inlineStr">
        <is>
          <t>Variasi</t>
        </is>
      </c>
      <c r="B30" s="1" t="inlineStr">
        <is>
          <t>Bobot Baru</t>
        </is>
      </c>
      <c r="C30" s="1" t="inlineStr">
        <is>
          <t>Rank 1 Alt.</t>
        </is>
      </c>
      <c r="D30" s="1" t="inlineStr">
        <is>
          <t>Rank Changes</t>
        </is>
      </c>
      <c r="E30" s="1" t="inlineStr">
        <is>
          <t>% Changes</t>
        </is>
      </c>
      <c r="K30" s="1" t="inlineStr">
        <is>
          <t>Metode Pembanding</t>
        </is>
      </c>
      <c r="L30" s="1" t="inlineStr">
        <is>
          <t>Σ d²</t>
        </is>
      </c>
      <c r="M30" s="1" t="inlineStr">
        <is>
          <t>Koefisien rs</t>
        </is>
      </c>
      <c r="N30" s="1" t="inlineStr">
        <is>
          <t>Tingkat Hubungan</t>
        </is>
      </c>
    </row>
    <row r="31" ht="22" customHeight="1">
      <c r="A31" s="6" t="inlineStr">
        <is>
          <t>-20%</t>
        </is>
      </c>
      <c r="B31" s="9" t="n">
        <v>0.102937694090373</v>
      </c>
      <c r="C31" s="6" t="inlineStr">
        <is>
          <t>A06</t>
        </is>
      </c>
      <c r="D31" s="6" t="n">
        <v>4</v>
      </c>
      <c r="E31" s="6" t="inlineStr">
        <is>
          <t>20.0%</t>
        </is>
      </c>
      <c r="K31" s="7" t="inlineStr">
        <is>
          <t>SWARA-MAIRCA vs SAW</t>
        </is>
      </c>
      <c r="L31" s="17">
        <f>N26</f>
        <v/>
      </c>
      <c r="M31" s="9">
        <f>1-(6*L31)/7980</f>
        <v/>
      </c>
      <c r="N31" s="6">
        <f>IF(M31&gt;0.8,"Sangat Kuat",IF(M31&gt;0.6,"Kuat",IF(M31&gt;0.4,"Cukup Kuat","Lemah")))</f>
        <v/>
      </c>
    </row>
    <row r="32" ht="22" customHeight="1">
      <c r="A32" s="6" t="inlineStr">
        <is>
          <t>-10%</t>
        </is>
      </c>
      <c r="B32" s="9" t="n">
        <v>0.1158049058516697</v>
      </c>
      <c r="C32" s="6" t="inlineStr">
        <is>
          <t>A06</t>
        </is>
      </c>
      <c r="D32" s="6" t="n">
        <v>0</v>
      </c>
      <c r="E32" s="6" t="inlineStr">
        <is>
          <t>0.0%</t>
        </is>
      </c>
      <c r="K32" s="7" t="inlineStr">
        <is>
          <t>SWARA-MAIRCA vs WP</t>
        </is>
      </c>
      <c r="L32" s="17">
        <f>P26</f>
        <v/>
      </c>
      <c r="M32" s="9">
        <f>1-(6*L32)/7980</f>
        <v/>
      </c>
      <c r="N32" s="6">
        <f>IF(M32&gt;0.8,"Sangat Kuat",IF(M32&gt;0.6,"Kuat",IF(M32&gt;0.4,"Cukup Kuat","Lemah")))</f>
        <v/>
      </c>
    </row>
    <row r="33" ht="22" customHeight="1">
      <c r="A33" s="21" t="inlineStr">
        <is>
          <t>Base (0%)</t>
        </is>
      </c>
      <c r="B33" s="22" t="n">
        <v>0.1286721176129663</v>
      </c>
      <c r="C33" s="21" t="inlineStr">
        <is>
          <t>A06</t>
        </is>
      </c>
      <c r="D33" s="21" t="n">
        <v>0</v>
      </c>
      <c r="E33" s="21" t="inlineStr">
        <is>
          <t>0.0%</t>
        </is>
      </c>
      <c r="K33" s="7" t="inlineStr">
        <is>
          <t>SWARA-MAIRCA vs TOPSIS</t>
        </is>
      </c>
      <c r="L33" s="17">
        <f>R26</f>
        <v/>
      </c>
      <c r="M33" s="9">
        <f>1-(6*L33)/7980</f>
        <v/>
      </c>
      <c r="N33" s="6">
        <f>IF(M33&gt;0.8,"Sangat Kuat",IF(M33&gt;0.6,"Kuat",IF(M33&gt;0.4,"Cukup Kuat","Lemah")))</f>
        <v/>
      </c>
    </row>
    <row r="34" ht="22" customHeight="1">
      <c r="A34" s="6" t="inlineStr">
        <is>
          <t>+10%</t>
        </is>
      </c>
      <c r="B34" s="9" t="n">
        <v>0.1415393293742629</v>
      </c>
      <c r="C34" s="6" t="inlineStr">
        <is>
          <t>A06</t>
        </is>
      </c>
      <c r="D34" s="6" t="n">
        <v>2</v>
      </c>
      <c r="E34" s="6" t="inlineStr">
        <is>
          <t>10.0%</t>
        </is>
      </c>
    </row>
    <row r="35" ht="22" customHeight="1">
      <c r="A35" s="6" t="inlineStr">
        <is>
          <t>+20%</t>
        </is>
      </c>
      <c r="B35" s="9" t="n">
        <v>0.1544065411355595</v>
      </c>
      <c r="C35" s="6" t="inlineStr">
        <is>
          <t>A06</t>
        </is>
      </c>
      <c r="D35" s="6" t="n">
        <v>2</v>
      </c>
      <c r="E35" s="6" t="inlineStr">
        <is>
          <t>10.0%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2026-06-21T14:47:17Z</dcterms:created>
  <dcterms:modified xmlns:dcterms="http://purl.org/dc/terms/" xmlns:xsi="http://www.w3.org/2001/XMLSchema-instance" xsi:type="dcterms:W3CDTF">2026-06-21T15:40:34Z</dcterms:modified>
</cp:coreProperties>
</file>